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larks Hill Lake Figues\New Figures\"/>
    </mc:Choice>
  </mc:AlternateContent>
  <xr:revisionPtr revIDLastSave="0" documentId="13_ncr:1_{CCCCB12F-0373-4F1F-A135-1931ECF09240}" xr6:coauthVersionLast="47" xr6:coauthVersionMax="47" xr10:uidLastSave="{00000000-0000-0000-0000-000000000000}"/>
  <bookViews>
    <workbookView xWindow="-28920" yWindow="-120" windowWidth="29040" windowHeight="15720" firstSheet="25" activeTab="25" xr2:uid="{00000000-000D-0000-FFFF-FFFF00000000}"/>
  </bookViews>
  <sheets>
    <sheet name="Zr Statistics" sheetId="1" r:id="rId1"/>
    <sheet name="GPS, Site &amp; Depth" sheetId="2" r:id="rId2"/>
    <sheet name="Ti Statistics" sheetId="3" r:id="rId3"/>
    <sheet name="Rb Statistics" sheetId="4" r:id="rId4"/>
    <sheet name="K Statistics" sheetId="5" r:id="rId5"/>
    <sheet name="Ca Statistics" sheetId="6" r:id="rId6"/>
    <sheet name="V Statistics" sheetId="7" r:id="rId7"/>
    <sheet name="Cu Statistics" sheetId="8" r:id="rId8"/>
    <sheet name="Zn Statistics" sheetId="9" r:id="rId9"/>
    <sheet name="Pb Statistics" sheetId="10" r:id="rId10"/>
    <sheet name="Sr Statistics" sheetId="11" r:id="rId11"/>
    <sheet name="Th Statistics" sheetId="12" r:id="rId12"/>
    <sheet name="Fe Statistics" sheetId="13" r:id="rId13"/>
    <sheet name="Mn Statistics" sheetId="14" r:id="rId14"/>
    <sheet name="Water Statistics" sheetId="15" r:id="rId15"/>
    <sheet name="D50 Statistics" sheetId="16" r:id="rId16"/>
    <sheet name="D10 Statistics" sheetId="17" r:id="rId17"/>
    <sheet name="D90 Statistics" sheetId="18" r:id="rId18"/>
    <sheet name="Correlation Analysis D50 vs XRF" sheetId="19" r:id="rId19"/>
    <sheet name="Correlation Analysis H2o VS D50" sheetId="20" r:id="rId20"/>
    <sheet name="Correlation Analysis H20 vs XRF" sheetId="21" r:id="rId21"/>
    <sheet name="%Clay Statistics" sheetId="23" r:id="rId22"/>
    <sheet name="%Silt Statistics" sheetId="24" r:id="rId23"/>
    <sheet name="%Sand Statistics" sheetId="25" r:id="rId24"/>
    <sheet name="Correlation Matrix" sheetId="26" r:id="rId25"/>
    <sheet name="Master Data" sheetId="22" r:id="rId26"/>
    <sheet name="%C Statistics" sheetId="28" r:id="rId27"/>
    <sheet name="TC" sheetId="27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2" l="1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2" i="22"/>
  <c r="B19" i="18"/>
  <c r="B18" i="17"/>
  <c r="B18" i="16"/>
</calcChain>
</file>

<file path=xl/sharedStrings.xml><?xml version="1.0" encoding="utf-8"?>
<sst xmlns="http://schemas.openxmlformats.org/spreadsheetml/2006/main" count="574" uniqueCount="87">
  <si>
    <t>Zr_ppm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</si>
  <si>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</si>
  <si>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</si>
  <si>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</si>
  <si>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</si>
  <si>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</si>
  <si>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</si>
  <si>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</si>
  <si>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</si>
  <si>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</si>
  <si>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</si>
  <si>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</si>
  <si>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</si>
  <si>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</si>
  <si>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</si>
  <si>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Sample Site</t>
  </si>
  <si>
    <t>Latitude</t>
  </si>
  <si>
    <t>Longtitude</t>
  </si>
  <si>
    <t>Depth</t>
  </si>
  <si>
    <t>Ti_ppm</t>
  </si>
  <si>
    <t>Rb_ppm</t>
  </si>
  <si>
    <t>K_ppm</t>
  </si>
  <si>
    <t>Ca_ppm</t>
  </si>
  <si>
    <t>V_ppm</t>
  </si>
  <si>
    <t>Cu_ppm</t>
  </si>
  <si>
    <t>Zn_ppm</t>
  </si>
  <si>
    <t>Pb_ppm</t>
  </si>
  <si>
    <t>Sr_ppm</t>
  </si>
  <si>
    <t>Th_ppm</t>
  </si>
  <si>
    <t>Fe_ppm</t>
  </si>
  <si>
    <t>Mn_ppm</t>
  </si>
  <si>
    <t xml:space="preserve"> </t>
  </si>
  <si>
    <t>Water_%</t>
  </si>
  <si>
    <t>D50</t>
  </si>
  <si>
    <t>CV</t>
  </si>
  <si>
    <t>D10</t>
  </si>
  <si>
    <t>D90</t>
  </si>
  <si>
    <t>Site</t>
  </si>
  <si>
    <t>%Clay</t>
  </si>
  <si>
    <t>%Silt</t>
  </si>
  <si>
    <t>%Sand</t>
  </si>
  <si>
    <t>Wet_g</t>
  </si>
  <si>
    <t>Dry_g</t>
  </si>
  <si>
    <t>SdAR L2</t>
  </si>
  <si>
    <t>L2</t>
  </si>
  <si>
    <t>H1</t>
  </si>
  <si>
    <t>M2</t>
  </si>
  <si>
    <t>Date</t>
  </si>
  <si>
    <t>Time</t>
  </si>
  <si>
    <t>Id</t>
  </si>
  <si>
    <t>Weight</t>
  </si>
  <si>
    <t>Carbon</t>
  </si>
  <si>
    <t>Hydrogen</t>
  </si>
  <si>
    <t>Sulfur</t>
  </si>
  <si>
    <t>01.03.2026</t>
  </si>
  <si>
    <t>Clarks Hill site 1</t>
  </si>
  <si>
    <t>NaN</t>
  </si>
  <si>
    <t>Clarks Hill site 2</t>
  </si>
  <si>
    <t>Clarks Hill site 3</t>
  </si>
  <si>
    <t>Clarks Hill site 4</t>
  </si>
  <si>
    <t>Clarks Hill site 5</t>
  </si>
  <si>
    <t>Clarks Hill site 6</t>
  </si>
  <si>
    <t>Clarks Hill site 7</t>
  </si>
  <si>
    <t>Clarks Hill site 8</t>
  </si>
  <si>
    <t>Clarks Hill site 9</t>
  </si>
  <si>
    <t>Clarks Hill site 10</t>
  </si>
  <si>
    <t>502-905</t>
  </si>
  <si>
    <t>502-914</t>
  </si>
  <si>
    <t>Clarks Hill site 12</t>
  </si>
  <si>
    <t>Clarks Hill site 13</t>
  </si>
  <si>
    <t>Clarks Hill site 14</t>
  </si>
  <si>
    <t>Clarks Hill site 15</t>
  </si>
  <si>
    <t>Clarks Hill site 16</t>
  </si>
  <si>
    <t>Clarks Hill site 19</t>
  </si>
  <si>
    <t>Clarks Hill site 20</t>
  </si>
  <si>
    <t>Clarks Hill site 21</t>
  </si>
  <si>
    <t>Clarks Hill site 23</t>
  </si>
  <si>
    <t>Blank</t>
  </si>
  <si>
    <t>Average</t>
  </si>
  <si>
    <t>Standard deviation</t>
  </si>
  <si>
    <t>Relative deviation</t>
  </si>
  <si>
    <t>%C=Carbon/Weight*100</t>
  </si>
  <si>
    <t>%C</t>
  </si>
  <si>
    <t>%Carbon</t>
  </si>
  <si>
    <t>Ph</t>
  </si>
  <si>
    <t>Cond.</t>
  </si>
  <si>
    <r>
      <t xml:space="preserve">DO </t>
    </r>
    <r>
      <rPr>
        <strike/>
        <sz val="11"/>
        <color theme="1"/>
        <rFont val="Aptos Narrow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</si>
</sst>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</font>
    <font>
      <i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6" fillId="0" borderId="0" xfId="0" quotePrefix="1" applyFont="1"/>
    <xf numFmtId="0" fontId="0" fillId="0" borderId="5" xfId="0" applyBorder="1"/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Continuous"/>
    </xf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/>
                </a:solidFill>
              </a:rPr>
              <a:t>Clay % vs Fe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0789777190259979"/>
          <c:y val="3.7230941404141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'Master Data'!$Y$1</c:f>
              <c:strCache>
                <c:ptCount val="1"/>
                <c:pt idx="0">
                  <c:v>Fe_ppm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134747207693932"/>
                  <c:y val="1.3542754935756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Data'!$E$2:$E$20</c:f>
              <c:numCache>
                <c:formatCode>General</c:formatCode>
                <c:ptCount val="19"/>
                <c:pt idx="0">
                  <c:v>42.9</c:v>
                </c:pt>
                <c:pt idx="1">
                  <c:v>34.5</c:v>
                </c:pt>
                <c:pt idx="2">
                  <c:v>50.2</c:v>
                </c:pt>
                <c:pt idx="3">
                  <c:v>42.8</c:v>
                </c:pt>
                <c:pt idx="4">
                  <c:v>60.3</c:v>
                </c:pt>
                <c:pt idx="5">
                  <c:v>50</c:v>
                </c:pt>
                <c:pt idx="6">
                  <c:v>54.5</c:v>
                </c:pt>
                <c:pt idx="7">
                  <c:v>35.9</c:v>
                </c:pt>
                <c:pt idx="8">
                  <c:v>53.6</c:v>
                </c:pt>
                <c:pt idx="9">
                  <c:v>46.8</c:v>
                </c:pt>
                <c:pt idx="10">
                  <c:v>42.9</c:v>
                </c:pt>
                <c:pt idx="11">
                  <c:v>32.4</c:v>
                </c:pt>
                <c:pt idx="12">
                  <c:v>27.3</c:v>
                </c:pt>
                <c:pt idx="13">
                  <c:v>32.6</c:v>
                </c:pt>
                <c:pt idx="14">
                  <c:v>39.799999999999997</c:v>
                </c:pt>
                <c:pt idx="15">
                  <c:v>36.200000000000003</c:v>
                </c:pt>
                <c:pt idx="16">
                  <c:v>25.6</c:v>
                </c:pt>
                <c:pt idx="17">
                  <c:v>47.8</c:v>
                </c:pt>
                <c:pt idx="18">
                  <c:v>36.799999999999997</c:v>
                </c:pt>
              </c:numCache>
            </c:numRef>
          </c:xVal>
          <c:yVal>
            <c:numRef>
              <c:f>'Master Data'!$Y$2:$Y$20</c:f>
              <c:numCache>
                <c:formatCode>General</c:formatCode>
                <c:ptCount val="19"/>
                <c:pt idx="0">
                  <c:v>85781.23</c:v>
                </c:pt>
                <c:pt idx="1">
                  <c:v>30993.01</c:v>
                </c:pt>
                <c:pt idx="2">
                  <c:v>99537.98</c:v>
                </c:pt>
                <c:pt idx="3">
                  <c:v>98957.07</c:v>
                </c:pt>
                <c:pt idx="4">
                  <c:v>68429.48</c:v>
                </c:pt>
                <c:pt idx="5">
                  <c:v>98759.42</c:v>
                </c:pt>
                <c:pt idx="6">
                  <c:v>90703.67</c:v>
                </c:pt>
                <c:pt idx="7">
                  <c:v>85950.38</c:v>
                </c:pt>
                <c:pt idx="8">
                  <c:v>105704.55</c:v>
                </c:pt>
                <c:pt idx="9">
                  <c:v>90688.960000000006</c:v>
                </c:pt>
                <c:pt idx="10">
                  <c:v>41665.519999999997</c:v>
                </c:pt>
                <c:pt idx="11">
                  <c:v>56137.22</c:v>
                </c:pt>
                <c:pt idx="12">
                  <c:v>47005.71</c:v>
                </c:pt>
                <c:pt idx="13">
                  <c:v>54584.78</c:v>
                </c:pt>
                <c:pt idx="14">
                  <c:v>68609.91</c:v>
                </c:pt>
                <c:pt idx="15">
                  <c:v>50615.16</c:v>
                </c:pt>
                <c:pt idx="16">
                  <c:v>43801.4</c:v>
                </c:pt>
                <c:pt idx="17">
                  <c:v>93302.8</c:v>
                </c:pt>
                <c:pt idx="18">
                  <c:v>49530.73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D4-46B9-8855-18C1FEE9A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16704"/>
        <c:axId val="2115695104"/>
      </c:scatterChart>
      <c:valAx>
        <c:axId val="211571670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Clay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95104"/>
        <c:crosses val="autoZero"/>
        <c:crossBetween val="midCat"/>
      </c:valAx>
      <c:valAx>
        <c:axId val="21156951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Iron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1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Water_% vs Clay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'Master Data'!$J$1</c:f>
              <c:strCache>
                <c:ptCount val="1"/>
                <c:pt idx="0">
                  <c:v>Water_%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6428258967629"/>
                  <c:y val="-6.52314814814814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Data'!$E$2:$E$20</c:f>
              <c:numCache>
                <c:formatCode>General</c:formatCode>
                <c:ptCount val="19"/>
                <c:pt idx="0">
                  <c:v>42.9</c:v>
                </c:pt>
                <c:pt idx="1">
                  <c:v>34.5</c:v>
                </c:pt>
                <c:pt idx="2">
                  <c:v>50.2</c:v>
                </c:pt>
                <c:pt idx="3">
                  <c:v>42.8</c:v>
                </c:pt>
                <c:pt idx="4">
                  <c:v>60.3</c:v>
                </c:pt>
                <c:pt idx="5">
                  <c:v>50</c:v>
                </c:pt>
                <c:pt idx="6">
                  <c:v>54.5</c:v>
                </c:pt>
                <c:pt idx="7">
                  <c:v>35.9</c:v>
                </c:pt>
                <c:pt idx="8">
                  <c:v>53.6</c:v>
                </c:pt>
                <c:pt idx="9">
                  <c:v>46.8</c:v>
                </c:pt>
                <c:pt idx="10">
                  <c:v>42.9</c:v>
                </c:pt>
                <c:pt idx="11">
                  <c:v>32.4</c:v>
                </c:pt>
                <c:pt idx="12">
                  <c:v>27.3</c:v>
                </c:pt>
                <c:pt idx="13">
                  <c:v>32.6</c:v>
                </c:pt>
                <c:pt idx="14">
                  <c:v>39.799999999999997</c:v>
                </c:pt>
                <c:pt idx="15">
                  <c:v>36.200000000000003</c:v>
                </c:pt>
                <c:pt idx="16">
                  <c:v>25.6</c:v>
                </c:pt>
                <c:pt idx="17">
                  <c:v>47.8</c:v>
                </c:pt>
                <c:pt idx="18">
                  <c:v>36.799999999999997</c:v>
                </c:pt>
              </c:numCache>
            </c:numRef>
          </c:xVal>
          <c:yVal>
            <c:numRef>
              <c:f>'Master Data'!$J$2:$J$20</c:f>
              <c:numCache>
                <c:formatCode>General</c:formatCode>
                <c:ptCount val="19"/>
                <c:pt idx="0">
                  <c:v>77.287946428571431</c:v>
                </c:pt>
                <c:pt idx="1">
                  <c:v>36.43724696356275</c:v>
                </c:pt>
                <c:pt idx="2">
                  <c:v>78.975032851511159</c:v>
                </c:pt>
                <c:pt idx="3">
                  <c:v>77.913135593220346</c:v>
                </c:pt>
                <c:pt idx="4">
                  <c:v>76.28205128205127</c:v>
                </c:pt>
                <c:pt idx="5">
                  <c:v>74.804570054119054</c:v>
                </c:pt>
                <c:pt idx="6">
                  <c:v>73.717026378896875</c:v>
                </c:pt>
                <c:pt idx="7">
                  <c:v>75.9765625</c:v>
                </c:pt>
                <c:pt idx="8">
                  <c:v>74.983277591973234</c:v>
                </c:pt>
                <c:pt idx="9">
                  <c:v>75.851393188854487</c:v>
                </c:pt>
                <c:pt idx="10">
                  <c:v>72.111553784860547</c:v>
                </c:pt>
                <c:pt idx="11">
                  <c:v>44.778927563499529</c:v>
                </c:pt>
                <c:pt idx="12">
                  <c:v>63.903281519861835</c:v>
                </c:pt>
                <c:pt idx="13">
                  <c:v>69.488536155202823</c:v>
                </c:pt>
                <c:pt idx="14">
                  <c:v>69.142857142857139</c:v>
                </c:pt>
                <c:pt idx="15">
                  <c:v>70.259346581340509</c:v>
                </c:pt>
                <c:pt idx="16">
                  <c:v>56.68129238133227</c:v>
                </c:pt>
                <c:pt idx="17">
                  <c:v>80.70429329474193</c:v>
                </c:pt>
                <c:pt idx="18">
                  <c:v>71.723388848660392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E8-4FE2-9B3D-3773990A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25344"/>
        <c:axId val="2115722464"/>
      </c:scatterChart>
      <c:valAx>
        <c:axId val="21157253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Clay Content (%)</a:t>
                </a:r>
              </a:p>
            </c:rich>
          </c:tx>
          <c:layout>
            <c:manualLayout>
              <c:xMode val="edge"/>
              <c:yMode val="edge"/>
              <c:x val="0.34579289216281833"/>
              <c:y val="0.87972445377018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22464"/>
        <c:crosses val="autoZero"/>
        <c:crossBetween val="midCat"/>
      </c:valAx>
      <c:valAx>
        <c:axId val="21157224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Moisture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2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Sand</a:t>
            </a:r>
            <a:r>
              <a:rPr lang="en-US" baseline="0">
                <a:solidFill>
                  <a:sysClr val="windowText" lastClr="000000"/>
                </a:solidFill>
              </a:rPr>
              <a:t> % vs Fe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'Master Data'!$Y$1</c:f>
              <c:strCache>
                <c:ptCount val="1"/>
                <c:pt idx="0">
                  <c:v>Fe_ppm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230027987832229E-3"/>
                  <c:y val="-0.102544220134462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Data'!$G$2:$G$20</c:f>
              <c:numCache>
                <c:formatCode>General</c:formatCode>
                <c:ptCount val="19"/>
                <c:pt idx="0">
                  <c:v>0.2</c:v>
                </c:pt>
                <c:pt idx="1">
                  <c:v>6</c:v>
                </c:pt>
                <c:pt idx="2">
                  <c:v>0.3</c:v>
                </c:pt>
                <c:pt idx="3">
                  <c:v>1.6</c:v>
                </c:pt>
                <c:pt idx="4">
                  <c:v>0</c:v>
                </c:pt>
                <c:pt idx="5">
                  <c:v>0.3</c:v>
                </c:pt>
                <c:pt idx="6">
                  <c:v>0</c:v>
                </c:pt>
                <c:pt idx="7">
                  <c:v>3.4</c:v>
                </c:pt>
                <c:pt idx="8">
                  <c:v>0</c:v>
                </c:pt>
                <c:pt idx="9">
                  <c:v>0.6</c:v>
                </c:pt>
                <c:pt idx="10">
                  <c:v>1.6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</c:v>
                </c:pt>
                <c:pt idx="16">
                  <c:v>4.0999999999999996</c:v>
                </c:pt>
                <c:pt idx="17">
                  <c:v>0.3</c:v>
                </c:pt>
                <c:pt idx="18">
                  <c:v>0.7</c:v>
                </c:pt>
              </c:numCache>
            </c:numRef>
          </c:xVal>
          <c:yVal>
            <c:numRef>
              <c:f>'Master Data'!$Y$2:$Y$20</c:f>
              <c:numCache>
                <c:formatCode>General</c:formatCode>
                <c:ptCount val="19"/>
                <c:pt idx="0">
                  <c:v>85781.23</c:v>
                </c:pt>
                <c:pt idx="1">
                  <c:v>30993.01</c:v>
                </c:pt>
                <c:pt idx="2">
                  <c:v>99537.98</c:v>
                </c:pt>
                <c:pt idx="3">
                  <c:v>98957.07</c:v>
                </c:pt>
                <c:pt idx="4">
                  <c:v>68429.48</c:v>
                </c:pt>
                <c:pt idx="5">
                  <c:v>98759.42</c:v>
                </c:pt>
                <c:pt idx="6">
                  <c:v>90703.67</c:v>
                </c:pt>
                <c:pt idx="7">
                  <c:v>85950.38</c:v>
                </c:pt>
                <c:pt idx="8">
                  <c:v>105704.55</c:v>
                </c:pt>
                <c:pt idx="9">
                  <c:v>90688.960000000006</c:v>
                </c:pt>
                <c:pt idx="10">
                  <c:v>41665.519999999997</c:v>
                </c:pt>
                <c:pt idx="11">
                  <c:v>56137.22</c:v>
                </c:pt>
                <c:pt idx="12">
                  <c:v>47005.71</c:v>
                </c:pt>
                <c:pt idx="13">
                  <c:v>54584.78</c:v>
                </c:pt>
                <c:pt idx="14">
                  <c:v>68609.91</c:v>
                </c:pt>
                <c:pt idx="15">
                  <c:v>50615.16</c:v>
                </c:pt>
                <c:pt idx="16">
                  <c:v>43801.4</c:v>
                </c:pt>
                <c:pt idx="17">
                  <c:v>93302.8</c:v>
                </c:pt>
                <c:pt idx="18">
                  <c:v>49530.73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C-4B63-A11C-E2289ACD9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677344"/>
        <c:axId val="2115662944"/>
      </c:scatterChart>
      <c:valAx>
        <c:axId val="21156773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Sand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62944"/>
        <c:crosses val="autoZero"/>
        <c:crossBetween val="midCat"/>
      </c:valAx>
      <c:valAx>
        <c:axId val="21156629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Iron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7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D50 vs 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'Master Data'!$Y$1</c:f>
              <c:strCache>
                <c:ptCount val="1"/>
                <c:pt idx="0">
                  <c:v>Fe_ppm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4523093619691186E-3"/>
                  <c:y val="-0.374444079906678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Data'!$M$2:$M$20</c:f>
              <c:numCache>
                <c:formatCode>General</c:formatCode>
                <c:ptCount val="19"/>
                <c:pt idx="0">
                  <c:v>5.0090000000000003</c:v>
                </c:pt>
                <c:pt idx="1">
                  <c:v>7.1980000000000004</c:v>
                </c:pt>
                <c:pt idx="2">
                  <c:v>3.8780000000000001</c:v>
                </c:pt>
                <c:pt idx="3">
                  <c:v>5.1449999999999996</c:v>
                </c:pt>
                <c:pt idx="4">
                  <c:v>2.7970000000000002</c:v>
                </c:pt>
                <c:pt idx="5">
                  <c:v>3.9009999999999998</c:v>
                </c:pt>
                <c:pt idx="6">
                  <c:v>3.3919999999999999</c:v>
                </c:pt>
                <c:pt idx="7">
                  <c:v>7.4279999999999999</c:v>
                </c:pt>
                <c:pt idx="8">
                  <c:v>3.5070000000000001</c:v>
                </c:pt>
                <c:pt idx="9">
                  <c:v>4.42</c:v>
                </c:pt>
                <c:pt idx="10">
                  <c:v>5.3129999999999997</c:v>
                </c:pt>
                <c:pt idx="11">
                  <c:v>8.1649999999999991</c:v>
                </c:pt>
                <c:pt idx="12">
                  <c:v>8.0380000000000003</c:v>
                </c:pt>
                <c:pt idx="13">
                  <c:v>6.6459999999999999</c:v>
                </c:pt>
                <c:pt idx="14">
                  <c:v>5.3230000000000004</c:v>
                </c:pt>
                <c:pt idx="15">
                  <c:v>6.5119999999999996</c:v>
                </c:pt>
                <c:pt idx="16">
                  <c:v>11.08</c:v>
                </c:pt>
                <c:pt idx="17">
                  <c:v>4.2149999999999999</c:v>
                </c:pt>
                <c:pt idx="18">
                  <c:v>6.173</c:v>
                </c:pt>
              </c:numCache>
            </c:numRef>
          </c:xVal>
          <c:yVal>
            <c:numRef>
              <c:f>'Master Data'!$Y$2:$Y$20</c:f>
              <c:numCache>
                <c:formatCode>General</c:formatCode>
                <c:ptCount val="19"/>
                <c:pt idx="0">
                  <c:v>85781.23</c:v>
                </c:pt>
                <c:pt idx="1">
                  <c:v>30993.01</c:v>
                </c:pt>
                <c:pt idx="2">
                  <c:v>99537.98</c:v>
                </c:pt>
                <c:pt idx="3">
                  <c:v>98957.07</c:v>
                </c:pt>
                <c:pt idx="4">
                  <c:v>68429.48</c:v>
                </c:pt>
                <c:pt idx="5">
                  <c:v>98759.42</c:v>
                </c:pt>
                <c:pt idx="6">
                  <c:v>90703.67</c:v>
                </c:pt>
                <c:pt idx="7">
                  <c:v>85950.38</c:v>
                </c:pt>
                <c:pt idx="8">
                  <c:v>105704.55</c:v>
                </c:pt>
                <c:pt idx="9">
                  <c:v>90688.960000000006</c:v>
                </c:pt>
                <c:pt idx="10">
                  <c:v>41665.519999999997</c:v>
                </c:pt>
                <c:pt idx="11">
                  <c:v>56137.22</c:v>
                </c:pt>
                <c:pt idx="12">
                  <c:v>47005.71</c:v>
                </c:pt>
                <c:pt idx="13">
                  <c:v>54584.78</c:v>
                </c:pt>
                <c:pt idx="14">
                  <c:v>68609.91</c:v>
                </c:pt>
                <c:pt idx="15">
                  <c:v>50615.16</c:v>
                </c:pt>
                <c:pt idx="16">
                  <c:v>43801.4</c:v>
                </c:pt>
                <c:pt idx="17">
                  <c:v>93302.8</c:v>
                </c:pt>
                <c:pt idx="18">
                  <c:v>49530.73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D0-4E5F-BECE-EF8B80DF2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678784"/>
        <c:axId val="2115673024"/>
      </c:scatterChart>
      <c:valAx>
        <c:axId val="211567878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Median Grain Size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73024"/>
        <c:crosses val="autoZero"/>
        <c:crossBetween val="midCat"/>
      </c:valAx>
      <c:valAx>
        <c:axId val="21156730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Iron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7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Fe vs 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'Master Data'!$Z$1</c:f>
              <c:strCache>
                <c:ptCount val="1"/>
                <c:pt idx="0">
                  <c:v>Mn_ppm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Data'!$Y$2:$Y$20</c:f>
              <c:numCache>
                <c:formatCode>General</c:formatCode>
                <c:ptCount val="19"/>
                <c:pt idx="0">
                  <c:v>85781.23</c:v>
                </c:pt>
                <c:pt idx="1">
                  <c:v>30993.01</c:v>
                </c:pt>
                <c:pt idx="2">
                  <c:v>99537.98</c:v>
                </c:pt>
                <c:pt idx="3">
                  <c:v>98957.07</c:v>
                </c:pt>
                <c:pt idx="4">
                  <c:v>68429.48</c:v>
                </c:pt>
                <c:pt idx="5">
                  <c:v>98759.42</c:v>
                </c:pt>
                <c:pt idx="6">
                  <c:v>90703.67</c:v>
                </c:pt>
                <c:pt idx="7">
                  <c:v>85950.38</c:v>
                </c:pt>
                <c:pt idx="8">
                  <c:v>105704.55</c:v>
                </c:pt>
                <c:pt idx="9">
                  <c:v>90688.960000000006</c:v>
                </c:pt>
                <c:pt idx="10">
                  <c:v>41665.519999999997</c:v>
                </c:pt>
                <c:pt idx="11">
                  <c:v>56137.22</c:v>
                </c:pt>
                <c:pt idx="12">
                  <c:v>47005.71</c:v>
                </c:pt>
                <c:pt idx="13">
                  <c:v>54584.78</c:v>
                </c:pt>
                <c:pt idx="14">
                  <c:v>68609.91</c:v>
                </c:pt>
                <c:pt idx="15">
                  <c:v>50615.16</c:v>
                </c:pt>
                <c:pt idx="16">
                  <c:v>43801.4</c:v>
                </c:pt>
                <c:pt idx="17">
                  <c:v>93302.8</c:v>
                </c:pt>
                <c:pt idx="18">
                  <c:v>49530.73</c:v>
                </c:pt>
              </c:numCache>
            </c:numRef>
          </c:xVal>
          <c:yVal>
            <c:numRef>
              <c:f>'Master Data'!$Z$2:$Z$20</c:f>
              <c:numCache>
                <c:formatCode>General</c:formatCode>
                <c:ptCount val="19"/>
                <c:pt idx="0">
                  <c:v>2323.3200000000002</c:v>
                </c:pt>
                <c:pt idx="1">
                  <c:v>2729.77</c:v>
                </c:pt>
                <c:pt idx="2">
                  <c:v>2596.71</c:v>
                </c:pt>
                <c:pt idx="3">
                  <c:v>2897.44</c:v>
                </c:pt>
                <c:pt idx="4">
                  <c:v>1019.58</c:v>
                </c:pt>
                <c:pt idx="5">
                  <c:v>4643.46</c:v>
                </c:pt>
                <c:pt idx="6">
                  <c:v>3882.9</c:v>
                </c:pt>
                <c:pt idx="7">
                  <c:v>1345.77</c:v>
                </c:pt>
                <c:pt idx="8">
                  <c:v>3779.28</c:v>
                </c:pt>
                <c:pt idx="9">
                  <c:v>1403.96</c:v>
                </c:pt>
                <c:pt idx="10">
                  <c:v>797.03</c:v>
                </c:pt>
                <c:pt idx="11">
                  <c:v>550.12</c:v>
                </c:pt>
                <c:pt idx="12">
                  <c:v>692.01</c:v>
                </c:pt>
                <c:pt idx="13">
                  <c:v>745.79</c:v>
                </c:pt>
                <c:pt idx="14">
                  <c:v>1228.48</c:v>
                </c:pt>
                <c:pt idx="15">
                  <c:v>1089.45</c:v>
                </c:pt>
                <c:pt idx="16">
                  <c:v>1044.3499999999999</c:v>
                </c:pt>
                <c:pt idx="17">
                  <c:v>1010.26</c:v>
                </c:pt>
                <c:pt idx="18">
                  <c:v>541.79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2-4B45-95EB-A3D1C1169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681664"/>
        <c:axId val="2115663424"/>
      </c:scatterChart>
      <c:valAx>
        <c:axId val="21156816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Iron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63424"/>
        <c:crosses val="autoZero"/>
        <c:crossBetween val="midCat"/>
      </c:valAx>
      <c:valAx>
        <c:axId val="21156634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Manganese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68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%Total</a:t>
            </a:r>
            <a:r>
              <a:rPr lang="en-US" baseline="0">
                <a:solidFill>
                  <a:sysClr val="windowText" lastClr="000000"/>
                </a:solidFill>
              </a:rPr>
              <a:t> Carbon</a:t>
            </a:r>
            <a:r>
              <a:rPr lang="en-US">
                <a:solidFill>
                  <a:sysClr val="windowText" lastClr="000000"/>
                </a:solidFill>
              </a:rPr>
              <a:t> by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5134784305349E-2"/>
          <c:y val="0.15782407407407409"/>
          <c:w val="0.71205415285502194"/>
          <c:h val="0.62308654126567509"/>
        </c:manualLayout>
      </c:layout>
      <c:barChart>
        <c:barDir val="col"/>
        <c:grouping val="clustered"/>
        <c:varyColors val="0"/>
        <c:ser>
          <c:idx val="0"/>
          <c:order val="0"/>
          <c:tx>
            <c:v>Carbon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TC!$K$2:$K$20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23</c:v>
                </c:pt>
              </c:numCache>
            </c:numRef>
          </c:cat>
          <c:val>
            <c:numRef>
              <c:f>TC!$M$2:$M$20</c:f>
              <c:numCache>
                <c:formatCode>0.00</c:formatCode>
                <c:ptCount val="19"/>
                <c:pt idx="0">
                  <c:v>2.7712895845142098</c:v>
                </c:pt>
                <c:pt idx="1">
                  <c:v>1.56219866793942</c:v>
                </c:pt>
                <c:pt idx="2">
                  <c:v>3.1120530530564698</c:v>
                </c:pt>
                <c:pt idx="3">
                  <c:v>3.02038426758324</c:v>
                </c:pt>
                <c:pt idx="4">
                  <c:v>2.3803167880774598</c:v>
                </c:pt>
                <c:pt idx="5">
                  <c:v>2.5027218477615198</c:v>
                </c:pt>
                <c:pt idx="6">
                  <c:v>2.5533982664475499</c:v>
                </c:pt>
                <c:pt idx="7">
                  <c:v>2.6717858248852302</c:v>
                </c:pt>
                <c:pt idx="8">
                  <c:v>2.78725613208388</c:v>
                </c:pt>
                <c:pt idx="9">
                  <c:v>2.76091915038656</c:v>
                </c:pt>
                <c:pt idx="10">
                  <c:v>2.4279429091401998</c:v>
                </c:pt>
                <c:pt idx="11">
                  <c:v>1.16593315781985</c:v>
                </c:pt>
                <c:pt idx="12">
                  <c:v>1.5792445086927001</c:v>
                </c:pt>
                <c:pt idx="13">
                  <c:v>1.8751876988971601</c:v>
                </c:pt>
                <c:pt idx="14">
                  <c:v>1.8881267567647899</c:v>
                </c:pt>
                <c:pt idx="15">
                  <c:v>2.1597778344449399</c:v>
                </c:pt>
                <c:pt idx="16">
                  <c:v>2.4772975988847699</c:v>
                </c:pt>
                <c:pt idx="17">
                  <c:v>2.7092584800727901</c:v>
                </c:pt>
                <c:pt idx="18">
                  <c:v>2.1097805477826399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9-4B2E-847A-472945B52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341711"/>
        <c:axId val="913328751"/>
      </c:barChart>
      <c:catAx>
        <c:axId val="91334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28751"/>
        <c:crosses val="autoZero"/>
        <c:auto val="1"/>
        <c:lblAlgn val="ctr"/>
        <c:lblOffset val="100"/>
        <c:noMultiLvlLbl val="0"/>
      </c:catAx>
      <c:valAx>
        <c:axId val="9133287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4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%TC VS Clay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'Master Data'!$AA$1</c:f>
              <c:strCache>
                <c:ptCount val="1"/>
                <c:pt idx="0">
                  <c:v>%Carbon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00196040746978E-2"/>
                  <c:y val="-7.4062773403324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Data'!$E$2:$E$20</c:f>
              <c:numCache>
                <c:formatCode>General</c:formatCode>
                <c:ptCount val="19"/>
                <c:pt idx="0">
                  <c:v>42.9</c:v>
                </c:pt>
                <c:pt idx="1">
                  <c:v>34.5</c:v>
                </c:pt>
                <c:pt idx="2">
                  <c:v>50.2</c:v>
                </c:pt>
                <c:pt idx="3">
                  <c:v>42.8</c:v>
                </c:pt>
                <c:pt idx="4">
                  <c:v>60.3</c:v>
                </c:pt>
                <c:pt idx="5">
                  <c:v>50</c:v>
                </c:pt>
                <c:pt idx="6">
                  <c:v>54.5</c:v>
                </c:pt>
                <c:pt idx="7">
                  <c:v>35.9</c:v>
                </c:pt>
                <c:pt idx="8">
                  <c:v>53.6</c:v>
                </c:pt>
                <c:pt idx="9">
                  <c:v>46.8</c:v>
                </c:pt>
                <c:pt idx="10">
                  <c:v>42.9</c:v>
                </c:pt>
                <c:pt idx="11">
                  <c:v>32.4</c:v>
                </c:pt>
                <c:pt idx="12">
                  <c:v>27.3</c:v>
                </c:pt>
                <c:pt idx="13">
                  <c:v>32.6</c:v>
                </c:pt>
                <c:pt idx="14">
                  <c:v>39.799999999999997</c:v>
                </c:pt>
                <c:pt idx="15">
                  <c:v>36.200000000000003</c:v>
                </c:pt>
                <c:pt idx="16">
                  <c:v>25.6</c:v>
                </c:pt>
                <c:pt idx="17">
                  <c:v>47.8</c:v>
                </c:pt>
                <c:pt idx="18">
                  <c:v>36.799999999999997</c:v>
                </c:pt>
              </c:numCache>
            </c:numRef>
          </c:xVal>
          <c:yVal>
            <c:numRef>
              <c:f>'Master Data'!$AA$2:$AA$20</c:f>
              <c:numCache>
                <c:formatCode>General</c:formatCode>
                <c:ptCount val="19"/>
                <c:pt idx="0">
                  <c:v>2.7712895845142098</c:v>
                </c:pt>
                <c:pt idx="1">
                  <c:v>1.56219866793942</c:v>
                </c:pt>
                <c:pt idx="2">
                  <c:v>3.1120530530564698</c:v>
                </c:pt>
                <c:pt idx="3">
                  <c:v>3.02038426758324</c:v>
                </c:pt>
                <c:pt idx="4">
                  <c:v>2.3803167880774598</c:v>
                </c:pt>
                <c:pt idx="5">
                  <c:v>2.5027218477615198</c:v>
                </c:pt>
                <c:pt idx="6">
                  <c:v>2.5533982664475499</c:v>
                </c:pt>
                <c:pt idx="7">
                  <c:v>2.6717858248852302</c:v>
                </c:pt>
                <c:pt idx="8">
                  <c:v>2.78725613208388</c:v>
                </c:pt>
                <c:pt idx="9">
                  <c:v>2.76091915038656</c:v>
                </c:pt>
                <c:pt idx="10">
                  <c:v>2.4279429091401998</c:v>
                </c:pt>
                <c:pt idx="11">
                  <c:v>1.16593315781985</c:v>
                </c:pt>
                <c:pt idx="12">
                  <c:v>1.5792445086927001</c:v>
                </c:pt>
                <c:pt idx="13">
                  <c:v>1.8751876988971601</c:v>
                </c:pt>
                <c:pt idx="14">
                  <c:v>1.8881267567647899</c:v>
                </c:pt>
                <c:pt idx="15">
                  <c:v>2.1597778344449399</c:v>
                </c:pt>
                <c:pt idx="16">
                  <c:v>2.4772975988847699</c:v>
                </c:pt>
                <c:pt idx="17">
                  <c:v>2.7092584800727901</c:v>
                </c:pt>
                <c:pt idx="18">
                  <c:v>2.1097805477826399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C-4671-8F57-4340CFF5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29231"/>
        <c:axId val="913336431"/>
      </c:scatterChart>
      <c:valAx>
        <c:axId val="91332923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%Clay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36431"/>
        <c:crosses val="autoZero"/>
        <c:crossBetween val="midCat"/>
      </c:valAx>
      <c:valAx>
        <c:axId val="913336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29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%TC</a:t>
            </a:r>
            <a:r>
              <a:rPr lang="en-US" baseline="0"/>
              <a:t> vs Fe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'Master Data'!$AA$1</c:f>
              <c:strCache>
                <c:ptCount val="1"/>
                <c:pt idx="0">
                  <c:v>%Carbon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087893993789843E-2"/>
                  <c:y val="-2.61071011956838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Data'!$Y$2:$Y$20</c:f>
              <c:numCache>
                <c:formatCode>General</c:formatCode>
                <c:ptCount val="19"/>
                <c:pt idx="0">
                  <c:v>85781.23</c:v>
                </c:pt>
                <c:pt idx="1">
                  <c:v>30993.01</c:v>
                </c:pt>
                <c:pt idx="2">
                  <c:v>99537.98</c:v>
                </c:pt>
                <c:pt idx="3">
                  <c:v>98957.07</c:v>
                </c:pt>
                <c:pt idx="4">
                  <c:v>68429.48</c:v>
                </c:pt>
                <c:pt idx="5">
                  <c:v>98759.42</c:v>
                </c:pt>
                <c:pt idx="6">
                  <c:v>90703.67</c:v>
                </c:pt>
                <c:pt idx="7">
                  <c:v>85950.38</c:v>
                </c:pt>
                <c:pt idx="8">
                  <c:v>105704.55</c:v>
                </c:pt>
                <c:pt idx="9">
                  <c:v>90688.960000000006</c:v>
                </c:pt>
                <c:pt idx="10">
                  <c:v>41665.519999999997</c:v>
                </c:pt>
                <c:pt idx="11">
                  <c:v>56137.22</c:v>
                </c:pt>
                <c:pt idx="12">
                  <c:v>47005.71</c:v>
                </c:pt>
                <c:pt idx="13">
                  <c:v>54584.78</c:v>
                </c:pt>
                <c:pt idx="14">
                  <c:v>68609.91</c:v>
                </c:pt>
                <c:pt idx="15">
                  <c:v>50615.16</c:v>
                </c:pt>
                <c:pt idx="16">
                  <c:v>43801.4</c:v>
                </c:pt>
                <c:pt idx="17">
                  <c:v>93302.8</c:v>
                </c:pt>
                <c:pt idx="18">
                  <c:v>49530.73</c:v>
                </c:pt>
              </c:numCache>
            </c:numRef>
          </c:xVal>
          <c:yVal>
            <c:numRef>
              <c:f>'Master Data'!$AA$2:$AA$20</c:f>
              <c:numCache>
                <c:formatCode>General</c:formatCode>
                <c:ptCount val="19"/>
                <c:pt idx="0">
                  <c:v>2.7712895845142098</c:v>
                </c:pt>
                <c:pt idx="1">
                  <c:v>1.56219866793942</c:v>
                </c:pt>
                <c:pt idx="2">
                  <c:v>3.1120530530564698</c:v>
                </c:pt>
                <c:pt idx="3">
                  <c:v>3.02038426758324</c:v>
                </c:pt>
                <c:pt idx="4">
                  <c:v>2.3803167880774598</c:v>
                </c:pt>
                <c:pt idx="5">
                  <c:v>2.5027218477615198</c:v>
                </c:pt>
                <c:pt idx="6">
                  <c:v>2.5533982664475499</c:v>
                </c:pt>
                <c:pt idx="7">
                  <c:v>2.6717858248852302</c:v>
                </c:pt>
                <c:pt idx="8">
                  <c:v>2.78725613208388</c:v>
                </c:pt>
                <c:pt idx="9">
                  <c:v>2.76091915038656</c:v>
                </c:pt>
                <c:pt idx="10">
                  <c:v>2.4279429091401998</c:v>
                </c:pt>
                <c:pt idx="11">
                  <c:v>1.16593315781985</c:v>
                </c:pt>
                <c:pt idx="12">
                  <c:v>1.5792445086927001</c:v>
                </c:pt>
                <c:pt idx="13">
                  <c:v>1.8751876988971601</c:v>
                </c:pt>
                <c:pt idx="14">
                  <c:v>1.8881267567647899</c:v>
                </c:pt>
                <c:pt idx="15">
                  <c:v>2.1597778344449399</c:v>
                </c:pt>
                <c:pt idx="16">
                  <c:v>2.4772975988847699</c:v>
                </c:pt>
                <c:pt idx="17">
                  <c:v>2.7092584800727901</c:v>
                </c:pt>
                <c:pt idx="18">
                  <c:v>2.1097805477826399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7-4756-89EF-7233A27EA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53711"/>
        <c:axId val="913329231"/>
      </c:scatterChart>
      <c:valAx>
        <c:axId val="91335371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Fe_ppm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29231"/>
        <c:crosses val="autoZero"/>
        <c:crossBetween val="midCat"/>
      </c:valAx>
      <c:valAx>
        <c:axId val="9133292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5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Silt(%) vs Fe_ppm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7637476650775"/>
          <c:y val="0.17171296296296298"/>
          <c:w val="0.65388089007842154"/>
          <c:h val="0.62308654126567509"/>
        </c:manualLayout>
      </c:layout>
      <c:bubbleChart>
        <c:varyColors val="0"/>
        <c:ser>
          <c:idx val="0"/>
          <c:order val="0"/>
          <c:tx>
            <c:v>Fe_ppm</c:v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trendline>
            <c:spPr>
              <a:ln w="34925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695454418728765"/>
                  <c:y val="-0.293303076698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Data'!$F$2:$F$20</c:f>
              <c:numCache>
                <c:formatCode>General</c:formatCode>
                <c:ptCount val="19"/>
                <c:pt idx="0">
                  <c:v>57</c:v>
                </c:pt>
                <c:pt idx="1">
                  <c:v>59.6</c:v>
                </c:pt>
                <c:pt idx="2">
                  <c:v>49.7</c:v>
                </c:pt>
                <c:pt idx="3">
                  <c:v>55.6</c:v>
                </c:pt>
                <c:pt idx="4">
                  <c:v>39.799999999999997</c:v>
                </c:pt>
                <c:pt idx="5">
                  <c:v>49.6</c:v>
                </c:pt>
                <c:pt idx="6">
                  <c:v>45.4</c:v>
                </c:pt>
                <c:pt idx="7">
                  <c:v>60.7</c:v>
                </c:pt>
                <c:pt idx="8">
                  <c:v>46.5</c:v>
                </c:pt>
                <c:pt idx="9">
                  <c:v>52.7</c:v>
                </c:pt>
                <c:pt idx="10">
                  <c:v>55.5</c:v>
                </c:pt>
                <c:pt idx="11">
                  <c:v>64.7</c:v>
                </c:pt>
                <c:pt idx="12">
                  <c:v>72.7</c:v>
                </c:pt>
                <c:pt idx="13">
                  <c:v>67.400000000000006</c:v>
                </c:pt>
                <c:pt idx="14">
                  <c:v>60.3</c:v>
                </c:pt>
                <c:pt idx="15">
                  <c:v>63.6</c:v>
                </c:pt>
                <c:pt idx="16">
                  <c:v>55.6</c:v>
                </c:pt>
                <c:pt idx="17">
                  <c:v>51.9</c:v>
                </c:pt>
                <c:pt idx="18">
                  <c:v>62.5</c:v>
                </c:pt>
              </c:numCache>
            </c:numRef>
          </c:xVal>
          <c:yVal>
            <c:numRef>
              <c:f>'Master Data'!$Y$2:$Y$20</c:f>
              <c:numCache>
                <c:formatCode>General</c:formatCode>
                <c:ptCount val="19"/>
                <c:pt idx="0">
                  <c:v>85781.23</c:v>
                </c:pt>
                <c:pt idx="1">
                  <c:v>30993.01</c:v>
                </c:pt>
                <c:pt idx="2">
                  <c:v>99537.98</c:v>
                </c:pt>
                <c:pt idx="3">
                  <c:v>98957.07</c:v>
                </c:pt>
                <c:pt idx="4">
                  <c:v>68429.48</c:v>
                </c:pt>
                <c:pt idx="5">
                  <c:v>98759.42</c:v>
                </c:pt>
                <c:pt idx="6">
                  <c:v>90703.67</c:v>
                </c:pt>
                <c:pt idx="7">
                  <c:v>85950.38</c:v>
                </c:pt>
                <c:pt idx="8">
                  <c:v>105704.55</c:v>
                </c:pt>
                <c:pt idx="9">
                  <c:v>90688.960000000006</c:v>
                </c:pt>
                <c:pt idx="10">
                  <c:v>41665.519999999997</c:v>
                </c:pt>
                <c:pt idx="11">
                  <c:v>56137.22</c:v>
                </c:pt>
                <c:pt idx="12">
                  <c:v>47005.71</c:v>
                </c:pt>
                <c:pt idx="13">
                  <c:v>54584.78</c:v>
                </c:pt>
                <c:pt idx="14">
                  <c:v>68609.91</c:v>
                </c:pt>
                <c:pt idx="15">
                  <c:v>50615.16</c:v>
                </c:pt>
                <c:pt idx="16">
                  <c:v>43801.4</c:v>
                </c:pt>
                <c:pt idx="17">
                  <c:v>93302.8</c:v>
                </c:pt>
                <c:pt idx="18">
                  <c:v>49530.73</c:v>
                </c:pt>
              </c:numCache>
            </c:numRef>
          </c:yVal>
          <c:bubbleSize>
            <c:numLit>
              <c:formatCode>General</c:formatCode>
              <c:ptCount val="1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6BF6-4DB7-BBF3-027587F6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41009024"/>
        <c:axId val="341010464"/>
      </c:bubbleChart>
      <c:valAx>
        <c:axId val="3410090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Silt Content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10464"/>
        <c:crosses val="autoZero"/>
        <c:crossBetween val="midCat"/>
      </c:valAx>
      <c:valAx>
        <c:axId val="3410104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Iron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0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5858434994564"/>
          <c:y val="0.49615667833187516"/>
          <c:w val="0.178311049510313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 vs Diussolved Oxygen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Fe_ppm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'Master Data'!$AC$2:$AC$20</c:f>
              <c:numCache>
                <c:formatCode>General</c:formatCode>
                <c:ptCount val="19"/>
                <c:pt idx="0">
                  <c:v>94.1</c:v>
                </c:pt>
                <c:pt idx="1">
                  <c:v>93.3</c:v>
                </c:pt>
                <c:pt idx="2">
                  <c:v>96.3</c:v>
                </c:pt>
                <c:pt idx="3">
                  <c:v>94.4</c:v>
                </c:pt>
                <c:pt idx="4">
                  <c:v>96.8</c:v>
                </c:pt>
                <c:pt idx="5">
                  <c:v>96.1</c:v>
                </c:pt>
                <c:pt idx="6">
                  <c:v>96.8</c:v>
                </c:pt>
                <c:pt idx="7">
                  <c:v>98.2</c:v>
                </c:pt>
                <c:pt idx="8">
                  <c:v>98.3</c:v>
                </c:pt>
                <c:pt idx="9">
                  <c:v>97.5</c:v>
                </c:pt>
                <c:pt idx="10">
                  <c:v>98.8</c:v>
                </c:pt>
                <c:pt idx="11">
                  <c:v>100.9</c:v>
                </c:pt>
                <c:pt idx="12">
                  <c:v>101.9</c:v>
                </c:pt>
                <c:pt idx="13">
                  <c:v>103.8</c:v>
                </c:pt>
                <c:pt idx="14">
                  <c:v>102.1</c:v>
                </c:pt>
                <c:pt idx="15">
                  <c:v>95.7</c:v>
                </c:pt>
                <c:pt idx="16">
                  <c:v>97.1</c:v>
                </c:pt>
                <c:pt idx="17">
                  <c:v>98.8</c:v>
                </c:pt>
                <c:pt idx="18">
                  <c:v>99.2</c:v>
                </c:pt>
              </c:numCache>
            </c:numRef>
          </c:xVal>
          <c:yVal>
            <c:numRef>
              <c:f>'Master Data'!$Y$2:$Y$20</c:f>
              <c:numCache>
                <c:formatCode>General</c:formatCode>
                <c:ptCount val="19"/>
                <c:pt idx="0">
                  <c:v>85781.23</c:v>
                </c:pt>
                <c:pt idx="1">
                  <c:v>30993.01</c:v>
                </c:pt>
                <c:pt idx="2">
                  <c:v>99537.98</c:v>
                </c:pt>
                <c:pt idx="3">
                  <c:v>98957.07</c:v>
                </c:pt>
                <c:pt idx="4">
                  <c:v>68429.48</c:v>
                </c:pt>
                <c:pt idx="5">
                  <c:v>98759.42</c:v>
                </c:pt>
                <c:pt idx="6">
                  <c:v>90703.67</c:v>
                </c:pt>
                <c:pt idx="7">
                  <c:v>85950.38</c:v>
                </c:pt>
                <c:pt idx="8">
                  <c:v>105704.55</c:v>
                </c:pt>
                <c:pt idx="9">
                  <c:v>90688.960000000006</c:v>
                </c:pt>
                <c:pt idx="10">
                  <c:v>41665.519999999997</c:v>
                </c:pt>
                <c:pt idx="11">
                  <c:v>56137.22</c:v>
                </c:pt>
                <c:pt idx="12">
                  <c:v>47005.71</c:v>
                </c:pt>
                <c:pt idx="13">
                  <c:v>54584.78</c:v>
                </c:pt>
                <c:pt idx="14">
                  <c:v>68609.91</c:v>
                </c:pt>
                <c:pt idx="15">
                  <c:v>50615.16</c:v>
                </c:pt>
                <c:pt idx="16">
                  <c:v>43801.4</c:v>
                </c:pt>
                <c:pt idx="17">
                  <c:v>93302.8</c:v>
                </c:pt>
                <c:pt idx="18">
                  <c:v>49530.73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9-4560-B2AC-C14F0B563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625776"/>
        <c:axId val="1703642576"/>
      </c:scatterChart>
      <c:valAx>
        <c:axId val="17036257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642576"/>
        <c:crosses val="autoZero"/>
        <c:crossBetween val="midCat"/>
      </c:valAx>
      <c:valAx>
        <c:axId val="1703642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Dissolved Oxygen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625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</a:t>
            </a:r>
            <a:r>
              <a:rPr lang="en-US" baseline="0"/>
              <a:t> vs Dissolved Oxygen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Carbon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'Master Data'!$AC$2:$AC$20</c:f>
              <c:numCache>
                <c:formatCode>General</c:formatCode>
                <c:ptCount val="19"/>
                <c:pt idx="0">
                  <c:v>94.1</c:v>
                </c:pt>
                <c:pt idx="1">
                  <c:v>93.3</c:v>
                </c:pt>
                <c:pt idx="2">
                  <c:v>96.3</c:v>
                </c:pt>
                <c:pt idx="3">
                  <c:v>94.4</c:v>
                </c:pt>
                <c:pt idx="4">
                  <c:v>96.8</c:v>
                </c:pt>
                <c:pt idx="5">
                  <c:v>96.1</c:v>
                </c:pt>
                <c:pt idx="6">
                  <c:v>96.8</c:v>
                </c:pt>
                <c:pt idx="7">
                  <c:v>98.2</c:v>
                </c:pt>
                <c:pt idx="8">
                  <c:v>98.3</c:v>
                </c:pt>
                <c:pt idx="9">
                  <c:v>97.5</c:v>
                </c:pt>
                <c:pt idx="10">
                  <c:v>98.8</c:v>
                </c:pt>
                <c:pt idx="11">
                  <c:v>100.9</c:v>
                </c:pt>
                <c:pt idx="12">
                  <c:v>101.9</c:v>
                </c:pt>
                <c:pt idx="13">
                  <c:v>103.8</c:v>
                </c:pt>
                <c:pt idx="14">
                  <c:v>102.1</c:v>
                </c:pt>
                <c:pt idx="15">
                  <c:v>95.7</c:v>
                </c:pt>
                <c:pt idx="16">
                  <c:v>97.1</c:v>
                </c:pt>
                <c:pt idx="17">
                  <c:v>98.8</c:v>
                </c:pt>
                <c:pt idx="18">
                  <c:v>99.2</c:v>
                </c:pt>
              </c:numCache>
            </c:numRef>
          </c:xVal>
          <c:yVal>
            <c:numRef>
              <c:f>'Master Data'!$AA$2:$AA$20</c:f>
              <c:numCache>
                <c:formatCode>General</c:formatCode>
                <c:ptCount val="19"/>
                <c:pt idx="0">
                  <c:v>2.7712895845142098</c:v>
                </c:pt>
                <c:pt idx="1">
                  <c:v>1.56219866793942</c:v>
                </c:pt>
                <c:pt idx="2">
                  <c:v>3.1120530530564698</c:v>
                </c:pt>
                <c:pt idx="3">
                  <c:v>3.02038426758324</c:v>
                </c:pt>
                <c:pt idx="4">
                  <c:v>2.3803167880774598</c:v>
                </c:pt>
                <c:pt idx="5">
                  <c:v>2.5027218477615198</c:v>
                </c:pt>
                <c:pt idx="6">
                  <c:v>2.5533982664475499</c:v>
                </c:pt>
                <c:pt idx="7">
                  <c:v>2.6717858248852302</c:v>
                </c:pt>
                <c:pt idx="8">
                  <c:v>2.78725613208388</c:v>
                </c:pt>
                <c:pt idx="9">
                  <c:v>2.76091915038656</c:v>
                </c:pt>
                <c:pt idx="10">
                  <c:v>2.4279429091401998</c:v>
                </c:pt>
                <c:pt idx="11">
                  <c:v>1.16593315781985</c:v>
                </c:pt>
                <c:pt idx="12">
                  <c:v>1.5792445086927001</c:v>
                </c:pt>
                <c:pt idx="13">
                  <c:v>1.8751876988971601</c:v>
                </c:pt>
                <c:pt idx="14">
                  <c:v>1.8881267567647899</c:v>
                </c:pt>
                <c:pt idx="15">
                  <c:v>2.1597778344449399</c:v>
                </c:pt>
                <c:pt idx="16">
                  <c:v>2.4772975988847699</c:v>
                </c:pt>
                <c:pt idx="17">
                  <c:v>2.7092584800727901</c:v>
                </c:pt>
                <c:pt idx="18">
                  <c:v>2.1097805477826399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A-40F7-8664-D7D010817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591696"/>
        <c:axId val="1703582576"/>
      </c:scatterChart>
      <c:valAx>
        <c:axId val="170359169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Dissolved Oxygen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82576"/>
        <c:crosses val="autoZero"/>
        <c:crossBetween val="midCat"/>
      </c:valAx>
      <c:valAx>
        <c:axId val="1703582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Carbon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9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Grain Size Distribution with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Data'!$E$2:$E$20</c:f>
              <c:numCache>
                <c:formatCode>General</c:formatCode>
                <c:ptCount val="19"/>
                <c:pt idx="0">
                  <c:v>42.9</c:v>
                </c:pt>
                <c:pt idx="1">
                  <c:v>34.5</c:v>
                </c:pt>
                <c:pt idx="2">
                  <c:v>50.2</c:v>
                </c:pt>
                <c:pt idx="3">
                  <c:v>42.8</c:v>
                </c:pt>
                <c:pt idx="4">
                  <c:v>60.3</c:v>
                </c:pt>
                <c:pt idx="5">
                  <c:v>50</c:v>
                </c:pt>
                <c:pt idx="6">
                  <c:v>54.5</c:v>
                </c:pt>
                <c:pt idx="7">
                  <c:v>35.9</c:v>
                </c:pt>
                <c:pt idx="8">
                  <c:v>53.6</c:v>
                </c:pt>
                <c:pt idx="9">
                  <c:v>46.8</c:v>
                </c:pt>
                <c:pt idx="10">
                  <c:v>42.9</c:v>
                </c:pt>
                <c:pt idx="11">
                  <c:v>32.4</c:v>
                </c:pt>
                <c:pt idx="12">
                  <c:v>27.3</c:v>
                </c:pt>
                <c:pt idx="13">
                  <c:v>32.6</c:v>
                </c:pt>
                <c:pt idx="14">
                  <c:v>39.799999999999997</c:v>
                </c:pt>
                <c:pt idx="15">
                  <c:v>36.200000000000003</c:v>
                </c:pt>
                <c:pt idx="16">
                  <c:v>25.6</c:v>
                </c:pt>
                <c:pt idx="17">
                  <c:v>47.8</c:v>
                </c:pt>
                <c:pt idx="18">
                  <c:v>36.799999999999997</c:v>
                </c:pt>
              </c:numCache>
            </c:numRef>
          </c:xVal>
          <c:yVal>
            <c:numRef>
              <c:f>'Master Data'!$B$2:$B$20</c:f>
              <c:numCache>
                <c:formatCode>General</c:formatCode>
                <c:ptCount val="19"/>
                <c:pt idx="0">
                  <c:v>28</c:v>
                </c:pt>
                <c:pt idx="1">
                  <c:v>30</c:v>
                </c:pt>
                <c:pt idx="2">
                  <c:v>32</c:v>
                </c:pt>
                <c:pt idx="3">
                  <c:v>30</c:v>
                </c:pt>
                <c:pt idx="4">
                  <c:v>21</c:v>
                </c:pt>
                <c:pt idx="5">
                  <c:v>36</c:v>
                </c:pt>
                <c:pt idx="6">
                  <c:v>34</c:v>
                </c:pt>
                <c:pt idx="7">
                  <c:v>17</c:v>
                </c:pt>
                <c:pt idx="8">
                  <c:v>37</c:v>
                </c:pt>
                <c:pt idx="9">
                  <c:v>26</c:v>
                </c:pt>
                <c:pt idx="10">
                  <c:v>13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24</c:v>
                </c:pt>
                <c:pt idx="15">
                  <c:v>13</c:v>
                </c:pt>
                <c:pt idx="16">
                  <c:v>9</c:v>
                </c:pt>
                <c:pt idx="17">
                  <c:v>29</c:v>
                </c:pt>
                <c:pt idx="1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A-4487-877B-D3159325D19A}"/>
            </c:ext>
          </c:extLst>
        </c:ser>
        <c:ser>
          <c:idx val="1"/>
          <c:order val="1"/>
          <c:tx>
            <c:v>Silt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'Master Data'!$F$2:$F$20</c:f>
              <c:numCache>
                <c:formatCode>General</c:formatCode>
                <c:ptCount val="19"/>
                <c:pt idx="0">
                  <c:v>57</c:v>
                </c:pt>
                <c:pt idx="1">
                  <c:v>59.6</c:v>
                </c:pt>
                <c:pt idx="2">
                  <c:v>49.7</c:v>
                </c:pt>
                <c:pt idx="3">
                  <c:v>55.6</c:v>
                </c:pt>
                <c:pt idx="4">
                  <c:v>39.799999999999997</c:v>
                </c:pt>
                <c:pt idx="5">
                  <c:v>49.6</c:v>
                </c:pt>
                <c:pt idx="6">
                  <c:v>45.4</c:v>
                </c:pt>
                <c:pt idx="7">
                  <c:v>60.7</c:v>
                </c:pt>
                <c:pt idx="8">
                  <c:v>46.5</c:v>
                </c:pt>
                <c:pt idx="9">
                  <c:v>52.7</c:v>
                </c:pt>
                <c:pt idx="10">
                  <c:v>55.5</c:v>
                </c:pt>
                <c:pt idx="11">
                  <c:v>64.7</c:v>
                </c:pt>
                <c:pt idx="12">
                  <c:v>72.7</c:v>
                </c:pt>
                <c:pt idx="13">
                  <c:v>67.400000000000006</c:v>
                </c:pt>
                <c:pt idx="14">
                  <c:v>60.3</c:v>
                </c:pt>
                <c:pt idx="15">
                  <c:v>63.6</c:v>
                </c:pt>
                <c:pt idx="16">
                  <c:v>55.6</c:v>
                </c:pt>
                <c:pt idx="17">
                  <c:v>51.9</c:v>
                </c:pt>
                <c:pt idx="18">
                  <c:v>62.5</c:v>
                </c:pt>
              </c:numCache>
            </c:numRef>
          </c:xVal>
          <c:yVal>
            <c:numRef>
              <c:f>'Master Data'!$B$2:$B$20</c:f>
              <c:numCache>
                <c:formatCode>General</c:formatCode>
                <c:ptCount val="19"/>
                <c:pt idx="0">
                  <c:v>28</c:v>
                </c:pt>
                <c:pt idx="1">
                  <c:v>30</c:v>
                </c:pt>
                <c:pt idx="2">
                  <c:v>32</c:v>
                </c:pt>
                <c:pt idx="3">
                  <c:v>30</c:v>
                </c:pt>
                <c:pt idx="4">
                  <c:v>21</c:v>
                </c:pt>
                <c:pt idx="5">
                  <c:v>36</c:v>
                </c:pt>
                <c:pt idx="6">
                  <c:v>34</c:v>
                </c:pt>
                <c:pt idx="7">
                  <c:v>17</c:v>
                </c:pt>
                <c:pt idx="8">
                  <c:v>37</c:v>
                </c:pt>
                <c:pt idx="9">
                  <c:v>26</c:v>
                </c:pt>
                <c:pt idx="10">
                  <c:v>13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24</c:v>
                </c:pt>
                <c:pt idx="15">
                  <c:v>13</c:v>
                </c:pt>
                <c:pt idx="16">
                  <c:v>9</c:v>
                </c:pt>
                <c:pt idx="17">
                  <c:v>29</c:v>
                </c:pt>
                <c:pt idx="1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A-4487-877B-D3159325D19A}"/>
            </c:ext>
          </c:extLst>
        </c:ser>
        <c:ser>
          <c:idx val="2"/>
          <c:order val="2"/>
          <c:tx>
            <c:v>Sand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'Master Data'!$G$2:$G$20</c:f>
              <c:numCache>
                <c:formatCode>General</c:formatCode>
                <c:ptCount val="19"/>
                <c:pt idx="0">
                  <c:v>0.2</c:v>
                </c:pt>
                <c:pt idx="1">
                  <c:v>6</c:v>
                </c:pt>
                <c:pt idx="2">
                  <c:v>0.3</c:v>
                </c:pt>
                <c:pt idx="3">
                  <c:v>1.6</c:v>
                </c:pt>
                <c:pt idx="4">
                  <c:v>0</c:v>
                </c:pt>
                <c:pt idx="5">
                  <c:v>0.3</c:v>
                </c:pt>
                <c:pt idx="6">
                  <c:v>0</c:v>
                </c:pt>
                <c:pt idx="7">
                  <c:v>3.4</c:v>
                </c:pt>
                <c:pt idx="8">
                  <c:v>0</c:v>
                </c:pt>
                <c:pt idx="9">
                  <c:v>0.6</c:v>
                </c:pt>
                <c:pt idx="10">
                  <c:v>1.6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</c:v>
                </c:pt>
                <c:pt idx="16">
                  <c:v>4.0999999999999996</c:v>
                </c:pt>
                <c:pt idx="17">
                  <c:v>0.3</c:v>
                </c:pt>
                <c:pt idx="18">
                  <c:v>0.7</c:v>
                </c:pt>
              </c:numCache>
            </c:numRef>
          </c:xVal>
          <c:yVal>
            <c:numRef>
              <c:f>'Master Data'!$B$2:$B$20</c:f>
              <c:numCache>
                <c:formatCode>General</c:formatCode>
                <c:ptCount val="19"/>
                <c:pt idx="0">
                  <c:v>28</c:v>
                </c:pt>
                <c:pt idx="1">
                  <c:v>30</c:v>
                </c:pt>
                <c:pt idx="2">
                  <c:v>32</c:v>
                </c:pt>
                <c:pt idx="3">
                  <c:v>30</c:v>
                </c:pt>
                <c:pt idx="4">
                  <c:v>21</c:v>
                </c:pt>
                <c:pt idx="5">
                  <c:v>36</c:v>
                </c:pt>
                <c:pt idx="6">
                  <c:v>34</c:v>
                </c:pt>
                <c:pt idx="7">
                  <c:v>17</c:v>
                </c:pt>
                <c:pt idx="8">
                  <c:v>37</c:v>
                </c:pt>
                <c:pt idx="9">
                  <c:v>26</c:v>
                </c:pt>
                <c:pt idx="10">
                  <c:v>13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24</c:v>
                </c:pt>
                <c:pt idx="15">
                  <c:v>13</c:v>
                </c:pt>
                <c:pt idx="16">
                  <c:v>9</c:v>
                </c:pt>
                <c:pt idx="17">
                  <c:v>29</c:v>
                </c:pt>
                <c:pt idx="1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EA-4487-877B-D3159325D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33040"/>
        <c:axId val="131123920"/>
      </c:scatterChart>
      <c:valAx>
        <c:axId val="131133040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3920"/>
        <c:crosses val="autoZero"/>
        <c:crossBetween val="midCat"/>
      </c:valAx>
      <c:valAx>
        <c:axId val="131123920"/>
        <c:scaling>
          <c:orientation val="maxMin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3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TC(%) vs Depth (m)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Carbon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Data'!$B$2:$B$20</c:f>
              <c:numCache>
                <c:formatCode>General</c:formatCode>
                <c:ptCount val="19"/>
                <c:pt idx="0">
                  <c:v>28</c:v>
                </c:pt>
                <c:pt idx="1">
                  <c:v>30</c:v>
                </c:pt>
                <c:pt idx="2">
                  <c:v>32</c:v>
                </c:pt>
                <c:pt idx="3">
                  <c:v>30</c:v>
                </c:pt>
                <c:pt idx="4">
                  <c:v>21</c:v>
                </c:pt>
                <c:pt idx="5">
                  <c:v>36</c:v>
                </c:pt>
                <c:pt idx="6">
                  <c:v>34</c:v>
                </c:pt>
                <c:pt idx="7">
                  <c:v>17</c:v>
                </c:pt>
                <c:pt idx="8">
                  <c:v>37</c:v>
                </c:pt>
                <c:pt idx="9">
                  <c:v>26</c:v>
                </c:pt>
                <c:pt idx="10">
                  <c:v>13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24</c:v>
                </c:pt>
                <c:pt idx="15">
                  <c:v>13</c:v>
                </c:pt>
                <c:pt idx="16">
                  <c:v>9</c:v>
                </c:pt>
                <c:pt idx="17">
                  <c:v>29</c:v>
                </c:pt>
                <c:pt idx="18">
                  <c:v>11</c:v>
                </c:pt>
              </c:numCache>
            </c:numRef>
          </c:xVal>
          <c:yVal>
            <c:numRef>
              <c:f>'Master Data'!$AA$2:$AA$20</c:f>
              <c:numCache>
                <c:formatCode>General</c:formatCode>
                <c:ptCount val="19"/>
                <c:pt idx="0">
                  <c:v>2.7712895845142098</c:v>
                </c:pt>
                <c:pt idx="1">
                  <c:v>1.56219866793942</c:v>
                </c:pt>
                <c:pt idx="2">
                  <c:v>3.1120530530564698</c:v>
                </c:pt>
                <c:pt idx="3">
                  <c:v>3.02038426758324</c:v>
                </c:pt>
                <c:pt idx="4">
                  <c:v>2.3803167880774598</c:v>
                </c:pt>
                <c:pt idx="5">
                  <c:v>2.5027218477615198</c:v>
                </c:pt>
                <c:pt idx="6">
                  <c:v>2.5533982664475499</c:v>
                </c:pt>
                <c:pt idx="7">
                  <c:v>2.6717858248852302</c:v>
                </c:pt>
                <c:pt idx="8">
                  <c:v>2.78725613208388</c:v>
                </c:pt>
                <c:pt idx="9">
                  <c:v>2.76091915038656</c:v>
                </c:pt>
                <c:pt idx="10">
                  <c:v>2.4279429091401998</c:v>
                </c:pt>
                <c:pt idx="11">
                  <c:v>1.16593315781985</c:v>
                </c:pt>
                <c:pt idx="12">
                  <c:v>1.5792445086927001</c:v>
                </c:pt>
                <c:pt idx="13">
                  <c:v>1.8751876988971601</c:v>
                </c:pt>
                <c:pt idx="14">
                  <c:v>1.8881267567647899</c:v>
                </c:pt>
                <c:pt idx="15">
                  <c:v>2.1597778344449399</c:v>
                </c:pt>
                <c:pt idx="16">
                  <c:v>2.4772975988847699</c:v>
                </c:pt>
                <c:pt idx="17">
                  <c:v>2.7092584800727901</c:v>
                </c:pt>
                <c:pt idx="18">
                  <c:v>2.1097805477826399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F-4858-924E-04A098838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274560"/>
        <c:axId val="2030276000"/>
      </c:scatterChart>
      <c:valAx>
        <c:axId val="20302745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276000"/>
        <c:crosses val="autoZero"/>
        <c:crossBetween val="midCat"/>
      </c:valAx>
      <c:valAx>
        <c:axId val="20302760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Toctal Carbon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27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D50 vs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'Master Data'!$B$2:$B$20</c:f>
              <c:numCache>
                <c:formatCode>General</c:formatCode>
                <c:ptCount val="19"/>
                <c:pt idx="0">
                  <c:v>28</c:v>
                </c:pt>
                <c:pt idx="1">
                  <c:v>30</c:v>
                </c:pt>
                <c:pt idx="2">
                  <c:v>32</c:v>
                </c:pt>
                <c:pt idx="3">
                  <c:v>30</c:v>
                </c:pt>
                <c:pt idx="4">
                  <c:v>21</c:v>
                </c:pt>
                <c:pt idx="5">
                  <c:v>36</c:v>
                </c:pt>
                <c:pt idx="6">
                  <c:v>34</c:v>
                </c:pt>
                <c:pt idx="7">
                  <c:v>17</c:v>
                </c:pt>
                <c:pt idx="8">
                  <c:v>37</c:v>
                </c:pt>
                <c:pt idx="9">
                  <c:v>26</c:v>
                </c:pt>
                <c:pt idx="10">
                  <c:v>13</c:v>
                </c:pt>
                <c:pt idx="11">
                  <c:v>10</c:v>
                </c:pt>
                <c:pt idx="12">
                  <c:v>8</c:v>
                </c:pt>
                <c:pt idx="13">
                  <c:v>9</c:v>
                </c:pt>
                <c:pt idx="14">
                  <c:v>24</c:v>
                </c:pt>
                <c:pt idx="15">
                  <c:v>13</c:v>
                </c:pt>
                <c:pt idx="16">
                  <c:v>9</c:v>
                </c:pt>
                <c:pt idx="17">
                  <c:v>29</c:v>
                </c:pt>
                <c:pt idx="18">
                  <c:v>11</c:v>
                </c:pt>
              </c:numCache>
            </c:numRef>
          </c:xVal>
          <c:yVal>
            <c:numRef>
              <c:f>'Master Data'!$M$2:$M$20</c:f>
              <c:numCache>
                <c:formatCode>General</c:formatCode>
                <c:ptCount val="19"/>
                <c:pt idx="0">
                  <c:v>5.0090000000000003</c:v>
                </c:pt>
                <c:pt idx="1">
                  <c:v>7.1980000000000004</c:v>
                </c:pt>
                <c:pt idx="2">
                  <c:v>3.8780000000000001</c:v>
                </c:pt>
                <c:pt idx="3">
                  <c:v>5.1449999999999996</c:v>
                </c:pt>
                <c:pt idx="4">
                  <c:v>2.7970000000000002</c:v>
                </c:pt>
                <c:pt idx="5">
                  <c:v>3.9009999999999998</c:v>
                </c:pt>
                <c:pt idx="6">
                  <c:v>3.3919999999999999</c:v>
                </c:pt>
                <c:pt idx="7">
                  <c:v>7.4279999999999999</c:v>
                </c:pt>
                <c:pt idx="8">
                  <c:v>3.5070000000000001</c:v>
                </c:pt>
                <c:pt idx="9">
                  <c:v>4.42</c:v>
                </c:pt>
                <c:pt idx="10">
                  <c:v>5.3129999999999997</c:v>
                </c:pt>
                <c:pt idx="11">
                  <c:v>8.1649999999999991</c:v>
                </c:pt>
                <c:pt idx="12">
                  <c:v>8.0380000000000003</c:v>
                </c:pt>
                <c:pt idx="13">
                  <c:v>6.6459999999999999</c:v>
                </c:pt>
                <c:pt idx="14">
                  <c:v>5.3230000000000004</c:v>
                </c:pt>
                <c:pt idx="15">
                  <c:v>6.5119999999999996</c:v>
                </c:pt>
                <c:pt idx="16">
                  <c:v>11.08</c:v>
                </c:pt>
                <c:pt idx="17">
                  <c:v>4.2149999999999999</c:v>
                </c:pt>
                <c:pt idx="18">
                  <c:v>6.173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7-4F0D-A80A-3812EC0E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31344"/>
        <c:axId val="255028944"/>
      </c:scatterChart>
      <c:valAx>
        <c:axId val="25503134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028944"/>
        <c:crosses val="autoZero"/>
        <c:crossBetween val="midCat"/>
      </c:valAx>
      <c:valAx>
        <c:axId val="2550289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Grain Size (D50)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03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25</xdr:row>
      <xdr:rowOff>90487</xdr:rowOff>
    </xdr:from>
    <xdr:to>
      <xdr:col>11</xdr:col>
      <xdr:colOff>276224</xdr:colOff>
      <xdr:row>39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9553F-43BD-4614-412B-D4BDCDD11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557211</xdr:colOff>
      <xdr:row>25</xdr:row>
      <xdr:rowOff>100011</xdr:rowOff>
    </xdr:from>
    <xdr:to>
      <xdr:col>22</xdr:col>
      <xdr:colOff>219074</xdr:colOff>
      <xdr:row>39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2780D-FC1B-4043-B61A-FDB5BF528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452436</xdr:colOff>
      <xdr:row>40</xdr:row>
      <xdr:rowOff>52387</xdr:rowOff>
    </xdr:from>
    <xdr:to>
      <xdr:col>11</xdr:col>
      <xdr:colOff>304799</xdr:colOff>
      <xdr:row>55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8F527-40F5-D772-D219-619F934C8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547686</xdr:colOff>
      <xdr:row>40</xdr:row>
      <xdr:rowOff>71437</xdr:rowOff>
    </xdr:from>
    <xdr:to>
      <xdr:col>22</xdr:col>
      <xdr:colOff>266699</xdr:colOff>
      <xdr:row>54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38333A-47FE-E219-71F6-42A131EE9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433387</xdr:colOff>
      <xdr:row>56</xdr:row>
      <xdr:rowOff>4762</xdr:rowOff>
    </xdr:from>
    <xdr:to>
      <xdr:col>11</xdr:col>
      <xdr:colOff>257175</xdr:colOff>
      <xdr:row>69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5E7627-2212-B7F4-3230-0A2F697D3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514350</xdr:colOff>
      <xdr:row>56</xdr:row>
      <xdr:rowOff>19050</xdr:rowOff>
    </xdr:from>
    <xdr:to>
      <xdr:col>22</xdr:col>
      <xdr:colOff>466725</xdr:colOff>
      <xdr:row>69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BC0DFA-E9AE-443E-8764-DC7818959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566737</xdr:colOff>
      <xdr:row>70</xdr:row>
      <xdr:rowOff>195262</xdr:rowOff>
    </xdr:from>
    <xdr:to>
      <xdr:col>22</xdr:col>
      <xdr:colOff>485775</xdr:colOff>
      <xdr:row>84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63949C-B1F2-CE17-77A3-7E05DA3A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442911</xdr:colOff>
      <xdr:row>70</xdr:row>
      <xdr:rowOff>119062</xdr:rowOff>
    </xdr:from>
    <xdr:to>
      <xdr:col>11</xdr:col>
      <xdr:colOff>257174</xdr:colOff>
      <xdr:row>84</xdr:row>
      <xdr:rowOff>61912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BDE715-93AA-3C41-ACEE-CA22B2FCC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390524</xdr:colOff>
      <xdr:row>25</xdr:row>
      <xdr:rowOff>80962</xdr:rowOff>
    </xdr:from>
    <xdr:to>
      <xdr:col>32</xdr:col>
      <xdr:colOff>419099</xdr:colOff>
      <xdr:row>39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1E02D7-94B5-11AE-5248-33067BBBA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217714</xdr:colOff>
      <xdr:row>56</xdr:row>
      <xdr:rowOff>92529</xdr:rowOff>
    </xdr:from>
    <xdr:to>
      <xdr:col>32</xdr:col>
      <xdr:colOff>458289</xdr:colOff>
      <xdr:row>70</xdr:row>
      <xdr:rowOff>134439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7802980-A7F3-7936-9C26-6E12F7312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541020</xdr:colOff>
      <xdr:row>39</xdr:row>
      <xdr:rowOff>95250</xdr:rowOff>
    </xdr:from>
    <xdr:to>
      <xdr:col>31</xdr:col>
      <xdr:colOff>426720</xdr:colOff>
      <xdr:row>53</xdr:row>
      <xdr:rowOff>64770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A73CFF1-AF2F-73A2-05AC-6C2AD04B1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413905</xdr:colOff>
      <xdr:row>71</xdr:row>
      <xdr:rowOff>178377</xdr:rowOff>
    </xdr:from>
    <xdr:to>
      <xdr:col>31</xdr:col>
      <xdr:colOff>159328</xdr:colOff>
      <xdr:row>85</xdr:row>
      <xdr:rowOff>71005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922B2DB-C7C5-7472-ABBE-419A6A3F6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35718</xdr:colOff>
      <xdr:row>85</xdr:row>
      <xdr:rowOff>3570</xdr:rowOff>
    </xdr:from>
    <xdr:to>
      <xdr:col>22</xdr:col>
      <xdr:colOff>500061</xdr:colOff>
      <xdr:row>99</xdr:row>
      <xdr:rowOff>71436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A010802-942E-A036-30A2-26B6DA56F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541734</xdr:colOff>
      <xdr:row>21</xdr:row>
      <xdr:rowOff>146446</xdr:rowOff>
    </xdr:from>
    <xdr:to>
      <xdr:col>11</xdr:col>
      <xdr:colOff>166687</xdr:colOff>
      <xdr:row>35</xdr:row>
      <xdr:rowOff>55959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640861-A285-D1D2-0116-EC40D7174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2.5703125" defaultRowHeight="15" customHeight="1" x14ac:dyDescent="0.25"/>
  <cols>
    <col min="1" max="1" width="13" customWidth="1"/>
    <col min="2" max="5" width="8.5703125" customWidth="1"/>
    <col min="6" max="6" width="12" customWidth="1"/>
    <col min="7" max="26" width="8.5703125" customWidth="1"/>
  </cols>
  <sheetData>
    <row r="1" spans="1:6" x14ac:dyDescent="0.25">
      <c r="A1" s="1" t="s">
        <v>0</v>
      </c>
      <c r="B1" s="2"/>
      <c r="E1" s="2"/>
      <c r="F1" s="2"/>
    </row>
    <row r="3" spans="1:6" x14ac:dyDescent="0.25">
      <c r="A3" s="3" t="s">
        <v>1</v>
      </c>
      <c r="B3" s="3">
        <v>165.38</v>
      </c>
    </row>
    <row r="4" spans="1:6" x14ac:dyDescent="0.25">
      <c r="A4" s="3" t="s">
        <v>2</v>
      </c>
      <c r="B4" s="3">
        <v>8.3943387703745529</v>
      </c>
    </row>
    <row r="5" spans="1:6" x14ac:dyDescent="0.25">
      <c r="A5" s="3" t="s">
        <v>3</v>
      </c>
      <c r="B5" s="3">
        <v>150.33000000000001</v>
      </c>
    </row>
    <row r="6" spans="1:6" x14ac:dyDescent="0.25">
      <c r="A6" s="3" t="s">
        <v>4</v>
      </c>
      <c r="B6" s="3" t="e">
        <v>#N/A</v>
      </c>
    </row>
    <row r="7" spans="1:6" x14ac:dyDescent="0.25">
      <c r="A7" s="3" t="s">
        <v>5</v>
      </c>
      <c r="B7" s="3">
        <v>36.590074397908161</v>
      </c>
    </row>
    <row r="8" spans="1:6" x14ac:dyDescent="0.25">
      <c r="A8" s="3" t="s">
        <v>6</v>
      </c>
      <c r="B8" s="3">
        <v>1338.8335444444544</v>
      </c>
    </row>
    <row r="9" spans="1:6" x14ac:dyDescent="0.25">
      <c r="A9" s="3" t="s">
        <v>7</v>
      </c>
      <c r="B9" s="3">
        <v>-0.16587952194409805</v>
      </c>
    </row>
    <row r="10" spans="1:6" x14ac:dyDescent="0.25">
      <c r="A10" s="3" t="s">
        <v>8</v>
      </c>
      <c r="B10" s="3">
        <v>0.59396793089770394</v>
      </c>
    </row>
    <row r="11" spans="1:6" x14ac:dyDescent="0.25">
      <c r="A11" s="3" t="s">
        <v>9</v>
      </c>
      <c r="B11" s="3">
        <v>136.17000000000002</v>
      </c>
    </row>
    <row r="12" spans="1:6" x14ac:dyDescent="0.25">
      <c r="A12" s="3" t="s">
        <v>10</v>
      </c>
      <c r="B12" s="3">
        <v>115.3</v>
      </c>
    </row>
    <row r="13" spans="1:6" x14ac:dyDescent="0.25">
      <c r="A13" s="3" t="s">
        <v>11</v>
      </c>
      <c r="B13" s="3">
        <v>251.47</v>
      </c>
    </row>
    <row r="14" spans="1:6" x14ac:dyDescent="0.25">
      <c r="A14" s="3" t="s">
        <v>12</v>
      </c>
      <c r="B14" s="3">
        <v>3142.22</v>
      </c>
    </row>
    <row r="15" spans="1:6" x14ac:dyDescent="0.25">
      <c r="A15" s="3" t="s">
        <v>13</v>
      </c>
      <c r="B15" s="3">
        <v>19</v>
      </c>
    </row>
    <row r="16" spans="1:6" x14ac:dyDescent="0.25">
      <c r="A16" s="4" t="s">
        <v>14</v>
      </c>
      <c r="B16" s="4">
        <v>17.63585133592975</v>
      </c>
      <c r="E16" s="4"/>
      <c r="F16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4" x14ac:dyDescent="0.25">
      <c r="A1" s="3" t="s">
        <v>15</v>
      </c>
      <c r="B1" s="3" t="s">
        <v>16</v>
      </c>
      <c r="C1" s="3" t="s">
        <v>17</v>
      </c>
      <c r="D1" s="3" t="s">
        <v>18</v>
      </c>
    </row>
    <row r="2" spans="1:4" x14ac:dyDescent="0.25">
      <c r="A2" s="3">
        <v>1</v>
      </c>
      <c r="B2" s="3">
        <v>33.715567999999998</v>
      </c>
      <c r="C2" s="3">
        <v>-82.250963999999996</v>
      </c>
      <c r="D2" s="3">
        <v>25.5</v>
      </c>
    </row>
    <row r="3" spans="1:4" x14ac:dyDescent="0.25">
      <c r="A3" s="3">
        <v>2</v>
      </c>
      <c r="B3" s="3">
        <v>33.693165</v>
      </c>
      <c r="C3" s="3">
        <v>-82.243758999999997</v>
      </c>
      <c r="D3" s="3">
        <v>34.1</v>
      </c>
    </row>
    <row r="4" spans="1:4" x14ac:dyDescent="0.25">
      <c r="A4" s="3">
        <v>3</v>
      </c>
      <c r="B4" s="3">
        <v>33.681454000000002</v>
      </c>
      <c r="C4" s="3">
        <v>-82.234438999999995</v>
      </c>
      <c r="D4" s="3">
        <v>32</v>
      </c>
    </row>
    <row r="5" spans="1:4" x14ac:dyDescent="0.25">
      <c r="A5" s="3">
        <v>4</v>
      </c>
      <c r="B5" s="3">
        <v>33.676150999999997</v>
      </c>
      <c r="C5" s="3">
        <v>-82.220091999999994</v>
      </c>
      <c r="D5" s="3">
        <v>30</v>
      </c>
    </row>
    <row r="6" spans="1:4" x14ac:dyDescent="0.25">
      <c r="A6" s="3">
        <v>5</v>
      </c>
      <c r="B6" s="3">
        <v>33.664479</v>
      </c>
      <c r="C6" s="3">
        <v>-82.216282000000007</v>
      </c>
      <c r="D6" s="3">
        <v>21</v>
      </c>
    </row>
    <row r="7" spans="1:4" x14ac:dyDescent="0.25">
      <c r="A7" s="3">
        <v>6</v>
      </c>
      <c r="B7" s="3">
        <v>33.669018999999999</v>
      </c>
      <c r="C7" s="3">
        <v>-82.196770999999998</v>
      </c>
      <c r="D7" s="3">
        <v>36</v>
      </c>
    </row>
    <row r="8" spans="1:4" x14ac:dyDescent="0.25">
      <c r="A8" s="3">
        <v>7</v>
      </c>
      <c r="B8" s="3">
        <v>33.680652000000002</v>
      </c>
      <c r="C8" s="3">
        <v>-82.208855999999997</v>
      </c>
      <c r="D8" s="3">
        <v>34</v>
      </c>
    </row>
    <row r="9" spans="1:4" x14ac:dyDescent="0.25">
      <c r="A9" s="3">
        <v>8</v>
      </c>
      <c r="B9" s="3">
        <v>33.694670000000002</v>
      </c>
      <c r="C9" s="3">
        <v>-82.216858000000002</v>
      </c>
      <c r="D9" s="3">
        <v>17</v>
      </c>
    </row>
    <row r="10" spans="1:4" x14ac:dyDescent="0.25">
      <c r="A10" s="3">
        <v>9</v>
      </c>
      <c r="B10" s="3">
        <v>33.688434000000001</v>
      </c>
      <c r="C10" s="3">
        <v>-82.224744999999999</v>
      </c>
      <c r="D10" s="3">
        <v>37</v>
      </c>
    </row>
    <row r="11" spans="1:4" x14ac:dyDescent="0.25">
      <c r="A11" s="3">
        <v>10</v>
      </c>
      <c r="B11" s="3">
        <v>33.677441000000002</v>
      </c>
      <c r="C11" s="3">
        <v>-82.249694000000005</v>
      </c>
      <c r="D11" s="3">
        <v>26</v>
      </c>
    </row>
    <row r="12" spans="1:4" x14ac:dyDescent="0.25">
      <c r="A12" s="3">
        <v>12</v>
      </c>
      <c r="B12" s="3">
        <v>33.660642000000003</v>
      </c>
      <c r="C12" s="3">
        <v>-82.272724999999994</v>
      </c>
      <c r="D12" s="3">
        <v>13</v>
      </c>
    </row>
    <row r="13" spans="1:4" x14ac:dyDescent="0.25">
      <c r="A13" s="3">
        <v>13</v>
      </c>
      <c r="B13" s="3">
        <v>33.723405999999997</v>
      </c>
      <c r="C13" s="3">
        <v>-82.226168999999999</v>
      </c>
      <c r="D13" s="3">
        <v>10</v>
      </c>
    </row>
    <row r="14" spans="1:4" x14ac:dyDescent="0.25">
      <c r="A14" s="3">
        <v>14</v>
      </c>
      <c r="B14" s="3">
        <v>33.723405999999997</v>
      </c>
      <c r="C14" s="3">
        <v>-82.226198999999994</v>
      </c>
      <c r="D14" s="3">
        <v>8</v>
      </c>
    </row>
    <row r="15" spans="1:4" x14ac:dyDescent="0.25">
      <c r="A15" s="3">
        <v>15</v>
      </c>
      <c r="B15" s="3">
        <v>33.774548000000003</v>
      </c>
      <c r="C15" s="3">
        <v>-82.230376000000007</v>
      </c>
      <c r="D15" s="3">
        <v>9</v>
      </c>
    </row>
    <row r="16" spans="1:4" x14ac:dyDescent="0.25">
      <c r="A16" s="3">
        <v>16</v>
      </c>
      <c r="B16" s="3">
        <v>33.762369999999997</v>
      </c>
      <c r="C16" s="3">
        <v>-82.238669999999999</v>
      </c>
      <c r="D16" s="3">
        <v>24</v>
      </c>
    </row>
    <row r="17" spans="1:4" x14ac:dyDescent="0.25">
      <c r="A17" s="3">
        <v>19</v>
      </c>
      <c r="B17" s="3">
        <v>33.746248000000001</v>
      </c>
      <c r="C17" s="3">
        <v>-82.263118000000006</v>
      </c>
      <c r="D17" s="3">
        <v>13</v>
      </c>
    </row>
    <row r="18" spans="1:4" x14ac:dyDescent="0.25">
      <c r="A18" s="3">
        <v>20</v>
      </c>
      <c r="B18" s="3">
        <v>33.733500999999997</v>
      </c>
      <c r="C18" s="3">
        <v>-82.257037999999994</v>
      </c>
      <c r="D18" s="3">
        <v>9</v>
      </c>
    </row>
    <row r="19" spans="1:4" x14ac:dyDescent="0.25">
      <c r="A19" s="3">
        <v>21</v>
      </c>
      <c r="B19" s="3">
        <v>33.745278999999996</v>
      </c>
      <c r="C19" s="3">
        <v>-82.263447999999997</v>
      </c>
      <c r="D19" s="3">
        <v>29</v>
      </c>
    </row>
    <row r="20" spans="1:4" x14ac:dyDescent="0.25">
      <c r="A20" s="3">
        <v>23</v>
      </c>
      <c r="B20" s="3">
        <v>33.774659999999997</v>
      </c>
      <c r="C20" s="3">
        <v>-82.233925999999997</v>
      </c>
      <c r="D20" s="3">
        <v>11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6" x14ac:dyDescent="0.25">
      <c r="A1" s="1" t="s">
        <v>19</v>
      </c>
      <c r="B1" s="2"/>
      <c r="E1" s="2"/>
      <c r="F1" s="2"/>
    </row>
    <row r="3" spans="1:6" x14ac:dyDescent="0.25">
      <c r="A3" s="3" t="s">
        <v>1</v>
      </c>
      <c r="B3" s="3">
        <v>5841.5147368421049</v>
      </c>
    </row>
    <row r="4" spans="1:6" x14ac:dyDescent="0.25">
      <c r="A4" s="3" t="s">
        <v>2</v>
      </c>
      <c r="B4" s="3">
        <v>230.76372980811405</v>
      </c>
    </row>
    <row r="5" spans="1:6" x14ac:dyDescent="0.25">
      <c r="A5" s="3" t="s">
        <v>3</v>
      </c>
      <c r="B5" s="3">
        <v>5926.3</v>
      </c>
    </row>
    <row r="6" spans="1:6" x14ac:dyDescent="0.25">
      <c r="A6" s="3" t="s">
        <v>4</v>
      </c>
      <c r="B6" s="3" t="e">
        <v>#N/A</v>
      </c>
    </row>
    <row r="7" spans="1:6" x14ac:dyDescent="0.25">
      <c r="A7" s="3" t="s">
        <v>5</v>
      </c>
      <c r="B7" s="3">
        <v>1005.8757780680938</v>
      </c>
    </row>
    <row r="8" spans="1:6" x14ac:dyDescent="0.25">
      <c r="A8" s="3" t="s">
        <v>6</v>
      </c>
      <c r="B8" s="3">
        <v>1011786.0809040931</v>
      </c>
    </row>
    <row r="9" spans="1:6" x14ac:dyDescent="0.25">
      <c r="A9" s="3" t="s">
        <v>7</v>
      </c>
      <c r="B9" s="3">
        <v>5.9624201179379916</v>
      </c>
    </row>
    <row r="10" spans="1:6" x14ac:dyDescent="0.25">
      <c r="A10" s="3" t="s">
        <v>8</v>
      </c>
      <c r="B10" s="3">
        <v>-2.1448169683356739</v>
      </c>
    </row>
    <row r="11" spans="1:6" x14ac:dyDescent="0.25">
      <c r="A11" s="3" t="s">
        <v>9</v>
      </c>
      <c r="B11" s="3">
        <v>4199.08</v>
      </c>
    </row>
    <row r="12" spans="1:6" x14ac:dyDescent="0.25">
      <c r="A12" s="3" t="s">
        <v>10</v>
      </c>
      <c r="B12" s="3">
        <v>2531.62</v>
      </c>
    </row>
    <row r="13" spans="1:6" x14ac:dyDescent="0.25">
      <c r="A13" s="3" t="s">
        <v>11</v>
      </c>
      <c r="B13" s="3">
        <v>6730.7</v>
      </c>
    </row>
    <row r="14" spans="1:6" x14ac:dyDescent="0.25">
      <c r="A14" s="3" t="s">
        <v>12</v>
      </c>
      <c r="B14" s="3">
        <v>110988.78</v>
      </c>
    </row>
    <row r="15" spans="1:6" x14ac:dyDescent="0.25">
      <c r="A15" s="3" t="s">
        <v>13</v>
      </c>
      <c r="B15" s="3">
        <v>19</v>
      </c>
      <c r="E15" s="4"/>
      <c r="F15" s="4"/>
    </row>
    <row r="16" spans="1:6" x14ac:dyDescent="0.25">
      <c r="A16" s="4" t="s">
        <v>14</v>
      </c>
      <c r="B16" s="4">
        <v>484.81660604209458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1" t="s">
        <v>20</v>
      </c>
      <c r="B1" s="2"/>
    </row>
    <row r="3" spans="1:2" x14ac:dyDescent="0.25">
      <c r="A3" s="3" t="s">
        <v>1</v>
      </c>
      <c r="B3" s="3">
        <v>75.250526315789457</v>
      </c>
    </row>
    <row r="4" spans="1:2" x14ac:dyDescent="0.25">
      <c r="A4" s="3" t="s">
        <v>2</v>
      </c>
      <c r="B4" s="3">
        <v>3.8448243842878269</v>
      </c>
    </row>
    <row r="5" spans="1:2" x14ac:dyDescent="0.25">
      <c r="A5" s="3" t="s">
        <v>3</v>
      </c>
      <c r="B5" s="3">
        <v>80.31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16.759200946771632</v>
      </c>
    </row>
    <row r="8" spans="1:2" x14ac:dyDescent="0.25">
      <c r="A8" s="3" t="s">
        <v>6</v>
      </c>
      <c r="B8" s="3">
        <v>280.87081637427116</v>
      </c>
    </row>
    <row r="9" spans="1:2" x14ac:dyDescent="0.25">
      <c r="A9" s="3" t="s">
        <v>7</v>
      </c>
      <c r="B9" s="3">
        <v>3.1878190418889676</v>
      </c>
    </row>
    <row r="10" spans="1:2" x14ac:dyDescent="0.25">
      <c r="A10" s="3" t="s">
        <v>8</v>
      </c>
      <c r="B10" s="3">
        <v>-1.9019323935407111</v>
      </c>
    </row>
    <row r="11" spans="1:2" x14ac:dyDescent="0.25">
      <c r="A11" s="3" t="s">
        <v>9</v>
      </c>
      <c r="B11" s="3">
        <v>58.660000000000011</v>
      </c>
    </row>
    <row r="12" spans="1:2" x14ac:dyDescent="0.25">
      <c r="A12" s="3" t="s">
        <v>10</v>
      </c>
      <c r="B12" s="3">
        <v>31.52</v>
      </c>
    </row>
    <row r="13" spans="1:2" x14ac:dyDescent="0.25">
      <c r="A13" s="3" t="s">
        <v>11</v>
      </c>
      <c r="B13" s="3">
        <v>90.18</v>
      </c>
    </row>
    <row r="14" spans="1:2" x14ac:dyDescent="0.25">
      <c r="A14" s="3" t="s">
        <v>12</v>
      </c>
      <c r="B14" s="3">
        <v>1429.7599999999998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8.0776762898064725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1" t="s">
        <v>21</v>
      </c>
      <c r="B1" s="2"/>
    </row>
    <row r="3" spans="1:2" x14ac:dyDescent="0.25">
      <c r="A3" s="3" t="s">
        <v>1</v>
      </c>
      <c r="B3" s="3">
        <v>7648.0252631578969</v>
      </c>
    </row>
    <row r="4" spans="1:2" x14ac:dyDescent="0.25">
      <c r="A4" s="3" t="s">
        <v>2</v>
      </c>
      <c r="B4" s="3">
        <v>395.87575742692758</v>
      </c>
    </row>
    <row r="5" spans="1:2" x14ac:dyDescent="0.25">
      <c r="A5" s="3" t="s">
        <v>3</v>
      </c>
      <c r="B5" s="3">
        <v>7437.71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1725.5824208215988</v>
      </c>
    </row>
    <row r="8" spans="1:2" x14ac:dyDescent="0.25">
      <c r="A8" s="3" t="s">
        <v>6</v>
      </c>
      <c r="B8" s="3">
        <v>2977634.6910485295</v>
      </c>
    </row>
    <row r="9" spans="1:2" x14ac:dyDescent="0.25">
      <c r="A9" s="3" t="s">
        <v>7</v>
      </c>
      <c r="B9" s="3">
        <v>-0.24883227102909355</v>
      </c>
    </row>
    <row r="10" spans="1:2" x14ac:dyDescent="0.25">
      <c r="A10" s="3" t="s">
        <v>8</v>
      </c>
      <c r="B10" s="3">
        <v>-0.29945683283876867</v>
      </c>
    </row>
    <row r="11" spans="1:2" x14ac:dyDescent="0.25">
      <c r="A11" s="3" t="s">
        <v>9</v>
      </c>
      <c r="B11" s="3">
        <v>6378.83</v>
      </c>
    </row>
    <row r="12" spans="1:2" x14ac:dyDescent="0.25">
      <c r="A12" s="3" t="s">
        <v>10</v>
      </c>
      <c r="B12" s="3">
        <v>4093.61</v>
      </c>
    </row>
    <row r="13" spans="1:2" x14ac:dyDescent="0.25">
      <c r="A13" s="3" t="s">
        <v>11</v>
      </c>
      <c r="B13" s="3">
        <v>10472.44</v>
      </c>
    </row>
    <row r="14" spans="1:2" x14ac:dyDescent="0.25">
      <c r="A14" s="3" t="s">
        <v>12</v>
      </c>
      <c r="B14" s="3">
        <v>145312.48000000004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831.70410397534681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1" t="s">
        <v>22</v>
      </c>
      <c r="B1" s="2"/>
    </row>
    <row r="3" spans="1:2" x14ac:dyDescent="0.25">
      <c r="A3" s="3" t="s">
        <v>1</v>
      </c>
      <c r="B3" s="3">
        <v>2009.7873684210526</v>
      </c>
    </row>
    <row r="4" spans="1:2" x14ac:dyDescent="0.25">
      <c r="A4" s="3" t="s">
        <v>2</v>
      </c>
      <c r="B4" s="3">
        <v>420.74687519303455</v>
      </c>
    </row>
    <row r="5" spans="1:2" x14ac:dyDescent="0.25">
      <c r="A5" s="3" t="s">
        <v>3</v>
      </c>
      <c r="B5" s="3">
        <v>1581.4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1833.9931097769581</v>
      </c>
    </row>
    <row r="8" spans="1:2" x14ac:dyDescent="0.25">
      <c r="A8" s="3" t="s">
        <v>6</v>
      </c>
      <c r="B8" s="3">
        <v>3363530.7267093575</v>
      </c>
    </row>
    <row r="9" spans="1:2" x14ac:dyDescent="0.25">
      <c r="A9" s="3" t="s">
        <v>7</v>
      </c>
      <c r="B9" s="3">
        <v>17.646463820397241</v>
      </c>
    </row>
    <row r="10" spans="1:2" x14ac:dyDescent="0.25">
      <c r="A10" s="3" t="s">
        <v>8</v>
      </c>
      <c r="B10" s="3">
        <v>4.1410787041753698</v>
      </c>
    </row>
    <row r="11" spans="1:2" x14ac:dyDescent="0.25">
      <c r="A11" s="3" t="s">
        <v>9</v>
      </c>
      <c r="B11" s="3">
        <v>8383.73</v>
      </c>
    </row>
    <row r="12" spans="1:2" x14ac:dyDescent="0.25">
      <c r="A12" s="3" t="s">
        <v>10</v>
      </c>
      <c r="B12" s="3">
        <v>1082.28</v>
      </c>
    </row>
    <row r="13" spans="1:2" x14ac:dyDescent="0.25">
      <c r="A13" s="3" t="s">
        <v>11</v>
      </c>
      <c r="B13" s="3">
        <v>9466.01</v>
      </c>
    </row>
    <row r="14" spans="1:2" x14ac:dyDescent="0.25">
      <c r="A14" s="3" t="s">
        <v>12</v>
      </c>
      <c r="B14" s="3">
        <v>38185.96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883.95638345559144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3" t="s">
        <v>23</v>
      </c>
      <c r="B1" s="2"/>
    </row>
    <row r="3" spans="1:2" x14ac:dyDescent="0.25">
      <c r="A3" s="3" t="s">
        <v>1</v>
      </c>
      <c r="B3" s="3">
        <v>225.51894736842104</v>
      </c>
    </row>
    <row r="4" spans="1:2" x14ac:dyDescent="0.25">
      <c r="A4" s="3" t="s">
        <v>2</v>
      </c>
      <c r="B4" s="3">
        <v>12.178750065372764</v>
      </c>
    </row>
    <row r="5" spans="1:2" x14ac:dyDescent="0.25">
      <c r="A5" s="3" t="s">
        <v>3</v>
      </c>
      <c r="B5" s="3">
        <v>233.72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53.085940793599256</v>
      </c>
    </row>
    <row r="8" spans="1:2" x14ac:dyDescent="0.25">
      <c r="A8" s="3" t="s">
        <v>6</v>
      </c>
      <c r="B8" s="3">
        <v>2818.1171099415255</v>
      </c>
    </row>
    <row r="9" spans="1:2" x14ac:dyDescent="0.25">
      <c r="A9" s="3" t="s">
        <v>7</v>
      </c>
      <c r="B9" s="3">
        <v>3.0538421347875624</v>
      </c>
    </row>
    <row r="10" spans="1:2" x14ac:dyDescent="0.25">
      <c r="A10" s="3" t="s">
        <v>8</v>
      </c>
      <c r="B10" s="3">
        <v>-1.4440988080823582</v>
      </c>
    </row>
    <row r="11" spans="1:2" x14ac:dyDescent="0.25">
      <c r="A11" s="3" t="s">
        <v>9</v>
      </c>
      <c r="B11" s="3">
        <v>234.54000000000002</v>
      </c>
    </row>
    <row r="12" spans="1:2" x14ac:dyDescent="0.25">
      <c r="A12" s="3" t="s">
        <v>10</v>
      </c>
      <c r="B12" s="3">
        <v>71.069999999999993</v>
      </c>
    </row>
    <row r="13" spans="1:2" x14ac:dyDescent="0.25">
      <c r="A13" s="3" t="s">
        <v>11</v>
      </c>
      <c r="B13" s="3">
        <v>305.61</v>
      </c>
    </row>
    <row r="14" spans="1:2" x14ac:dyDescent="0.25">
      <c r="A14" s="3" t="s">
        <v>12</v>
      </c>
      <c r="B14" s="3">
        <v>4284.8599999999997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25.586604434928621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3" t="s">
        <v>24</v>
      </c>
      <c r="B1" s="2"/>
    </row>
    <row r="3" spans="1:2" x14ac:dyDescent="0.25">
      <c r="A3" s="3" t="s">
        <v>1</v>
      </c>
      <c r="B3" s="3">
        <v>41.969473684210527</v>
      </c>
    </row>
    <row r="4" spans="1:2" x14ac:dyDescent="0.25">
      <c r="A4" s="3" t="s">
        <v>2</v>
      </c>
      <c r="B4" s="3">
        <v>2.4636577752872761</v>
      </c>
    </row>
    <row r="5" spans="1:2" x14ac:dyDescent="0.25">
      <c r="A5" s="3" t="s">
        <v>3</v>
      </c>
      <c r="B5" s="3">
        <v>43.78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10.738835273945474</v>
      </c>
    </row>
    <row r="8" spans="1:2" x14ac:dyDescent="0.25">
      <c r="A8" s="3" t="s">
        <v>6</v>
      </c>
      <c r="B8" s="3">
        <v>115.32258304093557</v>
      </c>
    </row>
    <row r="9" spans="1:2" x14ac:dyDescent="0.25">
      <c r="A9" s="3" t="s">
        <v>7</v>
      </c>
      <c r="B9" s="3">
        <v>1.1883088979968419</v>
      </c>
    </row>
    <row r="10" spans="1:2" x14ac:dyDescent="0.25">
      <c r="A10" s="3" t="s">
        <v>8</v>
      </c>
      <c r="B10" s="3">
        <v>-1.2839463738919796</v>
      </c>
    </row>
    <row r="11" spans="1:2" x14ac:dyDescent="0.25">
      <c r="A11" s="3" t="s">
        <v>9</v>
      </c>
      <c r="B11" s="3">
        <v>37.56</v>
      </c>
    </row>
    <row r="12" spans="1:2" x14ac:dyDescent="0.25">
      <c r="A12" s="3" t="s">
        <v>10</v>
      </c>
      <c r="B12" s="3">
        <v>15.82</v>
      </c>
    </row>
    <row r="13" spans="1:2" x14ac:dyDescent="0.25">
      <c r="A13" s="3" t="s">
        <v>11</v>
      </c>
      <c r="B13" s="3">
        <v>53.38</v>
      </c>
    </row>
    <row r="14" spans="1:2" x14ac:dyDescent="0.25">
      <c r="A14" s="3" t="s">
        <v>12</v>
      </c>
      <c r="B14" s="3">
        <v>797.42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5.1759529197122403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3" t="s">
        <v>25</v>
      </c>
      <c r="B1" s="2"/>
    </row>
    <row r="3" spans="1:2" x14ac:dyDescent="0.25">
      <c r="A3" s="3" t="s">
        <v>1</v>
      </c>
      <c r="B3" s="3">
        <v>79.136315789473699</v>
      </c>
    </row>
    <row r="4" spans="1:2" x14ac:dyDescent="0.25">
      <c r="A4" s="3" t="s">
        <v>2</v>
      </c>
      <c r="B4" s="3">
        <v>5.1617129738943346</v>
      </c>
    </row>
    <row r="5" spans="1:2" x14ac:dyDescent="0.25">
      <c r="A5" s="3" t="s">
        <v>3</v>
      </c>
      <c r="B5" s="3">
        <v>87.1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22.499385228768205</v>
      </c>
    </row>
    <row r="8" spans="1:2" x14ac:dyDescent="0.25">
      <c r="A8" s="3" t="s">
        <v>6</v>
      </c>
      <c r="B8" s="3">
        <v>506.22233567251288</v>
      </c>
    </row>
    <row r="9" spans="1:2" x14ac:dyDescent="0.25">
      <c r="A9" s="3" t="s">
        <v>7</v>
      </c>
      <c r="B9" s="3">
        <v>1.0865079634632111</v>
      </c>
    </row>
    <row r="10" spans="1:2" x14ac:dyDescent="0.25">
      <c r="A10" s="3" t="s">
        <v>8</v>
      </c>
      <c r="B10" s="3">
        <v>-1.1821606998929746</v>
      </c>
    </row>
    <row r="11" spans="1:2" x14ac:dyDescent="0.25">
      <c r="A11" s="3" t="s">
        <v>9</v>
      </c>
      <c r="B11" s="3">
        <v>83.78</v>
      </c>
    </row>
    <row r="12" spans="1:2" x14ac:dyDescent="0.25">
      <c r="A12" s="3" t="s">
        <v>10</v>
      </c>
      <c r="B12" s="3">
        <v>23.06</v>
      </c>
    </row>
    <row r="13" spans="1:2" x14ac:dyDescent="0.25">
      <c r="A13" s="3" t="s">
        <v>11</v>
      </c>
      <c r="B13" s="3">
        <v>106.84</v>
      </c>
    </row>
    <row r="14" spans="1:2" x14ac:dyDescent="0.25">
      <c r="A14" s="3" t="s">
        <v>12</v>
      </c>
      <c r="B14" s="3">
        <v>1503.5900000000001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10.844356552252719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3" t="s">
        <v>26</v>
      </c>
      <c r="B1" s="2"/>
    </row>
    <row r="3" spans="1:2" x14ac:dyDescent="0.25">
      <c r="A3" s="3" t="s">
        <v>1</v>
      </c>
      <c r="B3" s="3">
        <v>21.454736842105266</v>
      </c>
    </row>
    <row r="4" spans="1:2" x14ac:dyDescent="0.25">
      <c r="A4" s="3" t="s">
        <v>2</v>
      </c>
      <c r="B4" s="3">
        <v>0.98157480832577859</v>
      </c>
    </row>
    <row r="5" spans="1:2" x14ac:dyDescent="0.25">
      <c r="A5" s="3" t="s">
        <v>3</v>
      </c>
      <c r="B5" s="3">
        <v>21.77</v>
      </c>
    </row>
    <row r="6" spans="1:2" x14ac:dyDescent="0.25">
      <c r="A6" s="3" t="s">
        <v>4</v>
      </c>
      <c r="B6" s="3">
        <v>21.77</v>
      </c>
    </row>
    <row r="7" spans="1:2" x14ac:dyDescent="0.25">
      <c r="A7" s="3" t="s">
        <v>5</v>
      </c>
      <c r="B7" s="3">
        <v>4.2785853950173758</v>
      </c>
    </row>
    <row r="8" spans="1:2" x14ac:dyDescent="0.25">
      <c r="A8" s="3" t="s">
        <v>6</v>
      </c>
      <c r="B8" s="3">
        <v>18.306292982455993</v>
      </c>
    </row>
    <row r="9" spans="1:2" x14ac:dyDescent="0.25">
      <c r="A9" s="3" t="s">
        <v>7</v>
      </c>
      <c r="B9" s="3">
        <v>3.978019375920137</v>
      </c>
    </row>
    <row r="10" spans="1:2" x14ac:dyDescent="0.25">
      <c r="A10" s="3" t="s">
        <v>8</v>
      </c>
      <c r="B10" s="3">
        <v>-1.5514173650636442</v>
      </c>
    </row>
    <row r="11" spans="1:2" x14ac:dyDescent="0.25">
      <c r="A11" s="3" t="s">
        <v>9</v>
      </c>
      <c r="B11" s="3">
        <v>18.62</v>
      </c>
    </row>
    <row r="12" spans="1:2" x14ac:dyDescent="0.25">
      <c r="A12" s="3" t="s">
        <v>10</v>
      </c>
      <c r="B12" s="3">
        <v>8.41</v>
      </c>
    </row>
    <row r="13" spans="1:2" x14ac:dyDescent="0.25">
      <c r="A13" s="3" t="s">
        <v>11</v>
      </c>
      <c r="B13" s="3">
        <v>27.03</v>
      </c>
    </row>
    <row r="14" spans="1:2" x14ac:dyDescent="0.25">
      <c r="A14" s="3" t="s">
        <v>12</v>
      </c>
      <c r="B14" s="3">
        <v>407.64000000000004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2.0622121489570002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3" t="s">
        <v>27</v>
      </c>
      <c r="B1" s="2"/>
    </row>
    <row r="3" spans="1:2" x14ac:dyDescent="0.25">
      <c r="A3" s="3" t="s">
        <v>1</v>
      </c>
      <c r="B3" s="3">
        <v>39.626315789473686</v>
      </c>
    </row>
    <row r="4" spans="1:2" x14ac:dyDescent="0.25">
      <c r="A4" s="3" t="s">
        <v>2</v>
      </c>
      <c r="B4" s="3">
        <v>2.5538939664991305</v>
      </c>
    </row>
    <row r="5" spans="1:2" x14ac:dyDescent="0.25">
      <c r="A5" s="3" t="s">
        <v>3</v>
      </c>
      <c r="B5" s="3">
        <v>38.07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11.132165712487961</v>
      </c>
    </row>
    <row r="8" spans="1:2" x14ac:dyDescent="0.25">
      <c r="A8" s="3" t="s">
        <v>6</v>
      </c>
      <c r="B8" s="3">
        <v>123.92511345029259</v>
      </c>
    </row>
    <row r="9" spans="1:2" x14ac:dyDescent="0.25">
      <c r="A9" s="3" t="s">
        <v>7</v>
      </c>
      <c r="B9" s="3">
        <v>8.7410531111742902</v>
      </c>
    </row>
    <row r="10" spans="1:2" x14ac:dyDescent="0.25">
      <c r="A10" s="3" t="s">
        <v>8</v>
      </c>
      <c r="B10" s="3">
        <v>2.1639294252009265</v>
      </c>
    </row>
    <row r="11" spans="1:2" x14ac:dyDescent="0.25">
      <c r="A11" s="3" t="s">
        <v>9</v>
      </c>
      <c r="B11" s="3">
        <v>59.489999999999995</v>
      </c>
    </row>
    <row r="12" spans="1:2" x14ac:dyDescent="0.25">
      <c r="A12" s="3" t="s">
        <v>10</v>
      </c>
      <c r="B12" s="3">
        <v>18.809999999999999</v>
      </c>
    </row>
    <row r="13" spans="1:2" x14ac:dyDescent="0.25">
      <c r="A13" s="3" t="s">
        <v>11</v>
      </c>
      <c r="B13" s="3">
        <v>78.3</v>
      </c>
    </row>
    <row r="14" spans="1:2" x14ac:dyDescent="0.25">
      <c r="A14" s="3" t="s">
        <v>12</v>
      </c>
      <c r="B14" s="3">
        <v>752.9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5.3655321226566297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3" t="s">
        <v>28</v>
      </c>
      <c r="B1" s="2"/>
    </row>
    <row r="3" spans="1:2" x14ac:dyDescent="0.25">
      <c r="A3" s="3" t="s">
        <v>1</v>
      </c>
      <c r="B3" s="3">
        <v>11.295263157894739</v>
      </c>
    </row>
    <row r="4" spans="1:2" x14ac:dyDescent="0.25">
      <c r="A4" s="3" t="s">
        <v>2</v>
      </c>
      <c r="B4" s="3">
        <v>0.77553353392005797</v>
      </c>
    </row>
    <row r="5" spans="1:2" x14ac:dyDescent="0.25">
      <c r="A5" s="3" t="s">
        <v>3</v>
      </c>
      <c r="B5" s="3">
        <v>11.42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3.380472301684506</v>
      </c>
    </row>
    <row r="8" spans="1:2" x14ac:dyDescent="0.25">
      <c r="A8" s="3" t="s">
        <v>6</v>
      </c>
      <c r="B8" s="3">
        <v>11.42759298245614</v>
      </c>
    </row>
    <row r="9" spans="1:2" x14ac:dyDescent="0.25">
      <c r="A9" s="3" t="s">
        <v>7</v>
      </c>
      <c r="B9" s="3">
        <v>-0.17050457764692384</v>
      </c>
    </row>
    <row r="10" spans="1:2" x14ac:dyDescent="0.25">
      <c r="A10" s="3" t="s">
        <v>8</v>
      </c>
      <c r="B10" s="3">
        <v>0.22939257749392752</v>
      </c>
    </row>
    <row r="11" spans="1:2" x14ac:dyDescent="0.25">
      <c r="A11" s="3" t="s">
        <v>9</v>
      </c>
      <c r="B11" s="3">
        <v>12.21</v>
      </c>
    </row>
    <row r="12" spans="1:2" x14ac:dyDescent="0.25">
      <c r="A12" s="3" t="s">
        <v>10</v>
      </c>
      <c r="B12" s="3">
        <v>5.32</v>
      </c>
    </row>
    <row r="13" spans="1:2" x14ac:dyDescent="0.25">
      <c r="A13" s="3" t="s">
        <v>11</v>
      </c>
      <c r="B13" s="3">
        <v>17.53</v>
      </c>
    </row>
    <row r="14" spans="1:2" x14ac:dyDescent="0.25">
      <c r="A14" s="3" t="s">
        <v>12</v>
      </c>
      <c r="B14" s="3">
        <v>214.61000000000004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1.6293354943586702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3" t="s">
        <v>29</v>
      </c>
      <c r="B1" s="2"/>
    </row>
    <row r="3" spans="1:2" x14ac:dyDescent="0.25">
      <c r="A3" s="3" t="s">
        <v>1</v>
      </c>
      <c r="B3" s="3">
        <v>71618.893684210518</v>
      </c>
    </row>
    <row r="4" spans="1:2" x14ac:dyDescent="0.25">
      <c r="A4" s="3" t="s">
        <v>2</v>
      </c>
      <c r="B4" s="3">
        <v>5523.6717492080561</v>
      </c>
    </row>
    <row r="5" spans="1:2" x14ac:dyDescent="0.25">
      <c r="A5" s="3" t="s">
        <v>3</v>
      </c>
      <c r="B5" s="3">
        <v>68609.91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24077.126952088463</v>
      </c>
    </row>
    <row r="8" spans="1:2" x14ac:dyDescent="0.25">
      <c r="A8" s="3" t="s">
        <v>6</v>
      </c>
      <c r="B8" s="3">
        <v>579708042.2669847</v>
      </c>
    </row>
    <row r="9" spans="1:2" x14ac:dyDescent="0.25">
      <c r="A9" s="3" t="s">
        <v>7</v>
      </c>
      <c r="B9" s="3">
        <v>-1.5650973587934636</v>
      </c>
    </row>
    <row r="10" spans="1:2" x14ac:dyDescent="0.25">
      <c r="A10" s="3" t="s">
        <v>8</v>
      </c>
      <c r="B10" s="3">
        <v>-0.12217360429241983</v>
      </c>
    </row>
    <row r="11" spans="1:2" x14ac:dyDescent="0.25">
      <c r="A11" s="3" t="s">
        <v>9</v>
      </c>
      <c r="B11" s="3">
        <v>74711.540000000008</v>
      </c>
    </row>
    <row r="12" spans="1:2" x14ac:dyDescent="0.25">
      <c r="A12" s="3" t="s">
        <v>10</v>
      </c>
      <c r="B12" s="3">
        <v>30993.01</v>
      </c>
    </row>
    <row r="13" spans="1:2" x14ac:dyDescent="0.25">
      <c r="A13" s="3" t="s">
        <v>11</v>
      </c>
      <c r="B13" s="3">
        <v>105704.55</v>
      </c>
    </row>
    <row r="14" spans="1:2" x14ac:dyDescent="0.25">
      <c r="A14" s="3" t="s">
        <v>12</v>
      </c>
      <c r="B14" s="3">
        <v>1360758.9799999997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11604.803720967971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4" x14ac:dyDescent="0.25">
      <c r="A1" s="3" t="s">
        <v>30</v>
      </c>
      <c r="B1" s="2"/>
    </row>
    <row r="3" spans="1:4" x14ac:dyDescent="0.25">
      <c r="A3" s="3" t="s">
        <v>1</v>
      </c>
      <c r="B3" s="3">
        <v>1806.393157894737</v>
      </c>
      <c r="D3" s="3" t="s">
        <v>31</v>
      </c>
    </row>
    <row r="4" spans="1:4" x14ac:dyDescent="0.25">
      <c r="A4" s="3" t="s">
        <v>2</v>
      </c>
      <c r="B4" s="3">
        <v>290.22399966459932</v>
      </c>
    </row>
    <row r="5" spans="1:4" x14ac:dyDescent="0.25">
      <c r="A5" s="3" t="s">
        <v>3</v>
      </c>
      <c r="B5" s="3">
        <v>1228.48</v>
      </c>
    </row>
    <row r="6" spans="1:4" x14ac:dyDescent="0.25">
      <c r="A6" s="3" t="s">
        <v>4</v>
      </c>
      <c r="B6" s="3" t="e">
        <v>#N/A</v>
      </c>
    </row>
    <row r="7" spans="1:4" x14ac:dyDescent="0.25">
      <c r="A7" s="3" t="s">
        <v>5</v>
      </c>
      <c r="B7" s="3">
        <v>1265.0570855281708</v>
      </c>
    </row>
    <row r="8" spans="1:4" x14ac:dyDescent="0.25">
      <c r="A8" s="3" t="s">
        <v>6</v>
      </c>
      <c r="B8" s="3">
        <v>1600369.4296450296</v>
      </c>
    </row>
    <row r="9" spans="1:4" x14ac:dyDescent="0.25">
      <c r="A9" s="3" t="s">
        <v>7</v>
      </c>
      <c r="B9" s="3">
        <v>-0.19170202508699363</v>
      </c>
    </row>
    <row r="10" spans="1:4" x14ac:dyDescent="0.25">
      <c r="A10" s="3" t="s">
        <v>8</v>
      </c>
      <c r="B10" s="3">
        <v>0.99419829981894203</v>
      </c>
    </row>
    <row r="11" spans="1:4" x14ac:dyDescent="0.25">
      <c r="A11" s="3" t="s">
        <v>9</v>
      </c>
      <c r="B11" s="3">
        <v>4101.67</v>
      </c>
    </row>
    <row r="12" spans="1:4" x14ac:dyDescent="0.25">
      <c r="A12" s="3" t="s">
        <v>10</v>
      </c>
      <c r="B12" s="3">
        <v>541.79</v>
      </c>
    </row>
    <row r="13" spans="1:4" x14ac:dyDescent="0.25">
      <c r="A13" s="3" t="s">
        <v>11</v>
      </c>
      <c r="B13" s="3">
        <v>4643.46</v>
      </c>
    </row>
    <row r="14" spans="1:4" x14ac:dyDescent="0.25">
      <c r="A14" s="3" t="s">
        <v>12</v>
      </c>
      <c r="B14" s="3">
        <v>34321.47</v>
      </c>
    </row>
    <row r="15" spans="1:4" x14ac:dyDescent="0.25">
      <c r="A15" s="3" t="s">
        <v>13</v>
      </c>
      <c r="B15" s="3">
        <v>19</v>
      </c>
    </row>
    <row r="16" spans="1:4" x14ac:dyDescent="0.25">
      <c r="A16" s="4" t="s">
        <v>14</v>
      </c>
      <c r="B16" s="4">
        <v>609.73799750226431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ht="26.25" x14ac:dyDescent="0.25">
      <c r="A1" s="1" t="s">
        <v>32</v>
      </c>
      <c r="B1" s="2"/>
    </row>
    <row r="3" spans="1:2" x14ac:dyDescent="0.25">
      <c r="A3" s="3" t="s">
        <v>1</v>
      </c>
      <c r="B3" s="3">
        <v>69.527458952900929</v>
      </c>
    </row>
    <row r="4" spans="1:2" x14ac:dyDescent="0.25">
      <c r="A4" s="3" t="s">
        <v>2</v>
      </c>
      <c r="B4" s="3">
        <v>2.6838203760012371</v>
      </c>
    </row>
    <row r="5" spans="1:2" x14ac:dyDescent="0.25">
      <c r="A5" s="3" t="s">
        <v>3</v>
      </c>
      <c r="B5" s="3">
        <v>73.717026378896875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11.698501801604728</v>
      </c>
    </row>
    <row r="8" spans="1:2" x14ac:dyDescent="0.25">
      <c r="A8" s="3" t="s">
        <v>6</v>
      </c>
      <c r="B8" s="3">
        <v>136.85494440214904</v>
      </c>
    </row>
    <row r="9" spans="1:2" x14ac:dyDescent="0.25">
      <c r="A9" s="3" t="s">
        <v>7</v>
      </c>
      <c r="B9" s="3">
        <v>3.2305763002058305</v>
      </c>
    </row>
    <row r="10" spans="1:2" x14ac:dyDescent="0.25">
      <c r="A10" s="3" t="s">
        <v>8</v>
      </c>
      <c r="B10" s="3">
        <v>-1.9062489650261978</v>
      </c>
    </row>
    <row r="11" spans="1:2" x14ac:dyDescent="0.25">
      <c r="A11" s="3" t="s">
        <v>9</v>
      </c>
      <c r="B11" s="3">
        <v>44.267046331179181</v>
      </c>
    </row>
    <row r="12" spans="1:2" x14ac:dyDescent="0.25">
      <c r="A12" s="3" t="s">
        <v>10</v>
      </c>
      <c r="B12" s="3">
        <v>36.43724696356275</v>
      </c>
    </row>
    <row r="13" spans="1:2" x14ac:dyDescent="0.25">
      <c r="A13" s="3" t="s">
        <v>11</v>
      </c>
      <c r="B13" s="3">
        <v>80.70429329474193</v>
      </c>
    </row>
    <row r="14" spans="1:2" x14ac:dyDescent="0.25">
      <c r="A14" s="3" t="s">
        <v>12</v>
      </c>
      <c r="B14" s="3">
        <v>1321.0217201051175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5.6384973799889879</v>
      </c>
    </row>
    <row r="18" spans="2:2" x14ac:dyDescent="0.25">
      <c r="B18" s="3" t="s">
        <v>31</v>
      </c>
    </row>
    <row r="20" spans="2:2" x14ac:dyDescent="0.25">
      <c r="B20" s="3" t="s">
        <v>31</v>
      </c>
    </row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1" t="s">
        <v>33</v>
      </c>
      <c r="B1" s="2"/>
    </row>
    <row r="3" spans="1:2" x14ac:dyDescent="0.25">
      <c r="A3" s="3" t="s">
        <v>1</v>
      </c>
      <c r="B3" s="3">
        <v>5.6915789473684208</v>
      </c>
    </row>
    <row r="4" spans="1:2" x14ac:dyDescent="0.25">
      <c r="A4" s="3" t="s">
        <v>2</v>
      </c>
      <c r="B4" s="3">
        <v>0.47613863107163273</v>
      </c>
    </row>
    <row r="5" spans="1:2" x14ac:dyDescent="0.25">
      <c r="A5" s="3" t="s">
        <v>3</v>
      </c>
      <c r="B5" s="3">
        <v>5.3129999999999997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2.0754401759570427</v>
      </c>
    </row>
    <row r="8" spans="1:2" x14ac:dyDescent="0.25">
      <c r="A8" s="3" t="s">
        <v>6</v>
      </c>
      <c r="B8" s="3">
        <v>4.3074519239766005</v>
      </c>
    </row>
    <row r="9" spans="1:2" x14ac:dyDescent="0.25">
      <c r="A9" s="3" t="s">
        <v>7</v>
      </c>
      <c r="B9" s="3">
        <v>0.92795535760129821</v>
      </c>
    </row>
    <row r="10" spans="1:2" x14ac:dyDescent="0.25">
      <c r="A10" s="3" t="s">
        <v>8</v>
      </c>
      <c r="B10" s="3">
        <v>0.90489559923210328</v>
      </c>
    </row>
    <row r="11" spans="1:2" x14ac:dyDescent="0.25">
      <c r="A11" s="3" t="s">
        <v>9</v>
      </c>
      <c r="B11" s="3">
        <v>8.2829999999999995</v>
      </c>
    </row>
    <row r="12" spans="1:2" x14ac:dyDescent="0.25">
      <c r="A12" s="3" t="s">
        <v>10</v>
      </c>
      <c r="B12" s="3">
        <v>2.7970000000000002</v>
      </c>
    </row>
    <row r="13" spans="1:2" x14ac:dyDescent="0.25">
      <c r="A13" s="3" t="s">
        <v>11</v>
      </c>
      <c r="B13" s="3">
        <v>11.08</v>
      </c>
    </row>
    <row r="14" spans="1:2" x14ac:dyDescent="0.25">
      <c r="A14" s="3" t="s">
        <v>12</v>
      </c>
      <c r="B14" s="3">
        <v>108.14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1.0003301442285895</v>
      </c>
    </row>
    <row r="18" spans="1:2" x14ac:dyDescent="0.25">
      <c r="A18" s="3" t="s">
        <v>34</v>
      </c>
      <c r="B18" s="3">
        <f>B3/7*100</f>
        <v>81.308270676691734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1" t="s">
        <v>35</v>
      </c>
      <c r="B1" s="2"/>
    </row>
    <row r="3" spans="1:2" x14ac:dyDescent="0.25">
      <c r="A3" s="3" t="s">
        <v>1</v>
      </c>
      <c r="B3" s="3">
        <v>0.99873684210526326</v>
      </c>
    </row>
    <row r="4" spans="1:2" x14ac:dyDescent="0.25">
      <c r="A4" s="3" t="s">
        <v>2</v>
      </c>
      <c r="B4" s="3">
        <v>7.4041155068586037E-2</v>
      </c>
    </row>
    <row r="5" spans="1:2" x14ac:dyDescent="0.25">
      <c r="A5" s="3" t="s">
        <v>3</v>
      </c>
      <c r="B5" s="3">
        <v>0.92500000000000004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0.32273791260699092</v>
      </c>
    </row>
    <row r="8" spans="1:2" x14ac:dyDescent="0.25">
      <c r="A8" s="3" t="s">
        <v>6</v>
      </c>
      <c r="B8" s="3">
        <v>0.10415976023391771</v>
      </c>
    </row>
    <row r="9" spans="1:2" x14ac:dyDescent="0.25">
      <c r="A9" s="3" t="s">
        <v>7</v>
      </c>
      <c r="B9" s="3">
        <v>-0.87548537502928081</v>
      </c>
    </row>
    <row r="10" spans="1:2" x14ac:dyDescent="0.25">
      <c r="A10" s="3" t="s">
        <v>8</v>
      </c>
      <c r="B10" s="3">
        <v>0.69720270717518429</v>
      </c>
    </row>
    <row r="11" spans="1:2" x14ac:dyDescent="0.25">
      <c r="A11" s="3" t="s">
        <v>9</v>
      </c>
      <c r="B11" s="3">
        <v>1.0020000000000002</v>
      </c>
    </row>
    <row r="12" spans="1:2" x14ac:dyDescent="0.25">
      <c r="A12" s="3" t="s">
        <v>10</v>
      </c>
      <c r="B12" s="3">
        <v>0.61</v>
      </c>
    </row>
    <row r="13" spans="1:2" x14ac:dyDescent="0.25">
      <c r="A13" s="3" t="s">
        <v>11</v>
      </c>
      <c r="B13" s="3">
        <v>1.6120000000000001</v>
      </c>
    </row>
    <row r="14" spans="1:2" x14ac:dyDescent="0.25">
      <c r="A14" s="3" t="s">
        <v>12</v>
      </c>
      <c r="B14" s="3">
        <v>18.976000000000003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0.15555469456849683</v>
      </c>
    </row>
    <row r="18" spans="1:2" x14ac:dyDescent="0.25">
      <c r="A18" s="3" t="s">
        <v>34</v>
      </c>
      <c r="B18" s="3">
        <f>B3/B7*100</f>
        <v>309.45755149673397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1" t="s">
        <v>36</v>
      </c>
      <c r="B1" s="2"/>
    </row>
    <row r="3" spans="1:2" x14ac:dyDescent="0.25">
      <c r="A3" s="3" t="s">
        <v>1</v>
      </c>
      <c r="B3" s="3">
        <v>25.462736842105262</v>
      </c>
    </row>
    <row r="4" spans="1:2" x14ac:dyDescent="0.25">
      <c r="A4" s="3" t="s">
        <v>2</v>
      </c>
      <c r="B4" s="3">
        <v>2.6445416154414709</v>
      </c>
    </row>
    <row r="5" spans="1:2" x14ac:dyDescent="0.25">
      <c r="A5" s="3" t="s">
        <v>3</v>
      </c>
      <c r="B5" s="3">
        <v>24.05</v>
      </c>
    </row>
    <row r="6" spans="1:2" x14ac:dyDescent="0.25">
      <c r="A6" s="3" t="s">
        <v>4</v>
      </c>
      <c r="B6" s="3" t="e">
        <v>#N/A</v>
      </c>
    </row>
    <row r="7" spans="1:2" x14ac:dyDescent="0.25">
      <c r="A7" s="3" t="s">
        <v>5</v>
      </c>
      <c r="B7" s="3">
        <v>11.527289653697174</v>
      </c>
    </row>
    <row r="8" spans="1:2" x14ac:dyDescent="0.25">
      <c r="A8" s="3" t="s">
        <v>6</v>
      </c>
      <c r="B8" s="3">
        <v>132.8784067602339</v>
      </c>
    </row>
    <row r="9" spans="1:2" x14ac:dyDescent="0.25">
      <c r="A9" s="3" t="s">
        <v>7</v>
      </c>
      <c r="B9" s="3">
        <v>0.11791293342456832</v>
      </c>
    </row>
    <row r="10" spans="1:2" x14ac:dyDescent="0.25">
      <c r="A10" s="3" t="s">
        <v>8</v>
      </c>
      <c r="B10" s="3">
        <v>0.26848443276709566</v>
      </c>
    </row>
    <row r="11" spans="1:2" x14ac:dyDescent="0.25">
      <c r="A11" s="3" t="s">
        <v>9</v>
      </c>
      <c r="B11" s="3">
        <v>45.508000000000003</v>
      </c>
    </row>
    <row r="12" spans="1:2" x14ac:dyDescent="0.25">
      <c r="A12" s="3" t="s">
        <v>10</v>
      </c>
      <c r="B12" s="3">
        <v>1.3520000000000001</v>
      </c>
    </row>
    <row r="13" spans="1:2" x14ac:dyDescent="0.25">
      <c r="A13" s="3" t="s">
        <v>11</v>
      </c>
      <c r="B13" s="3">
        <v>46.86</v>
      </c>
    </row>
    <row r="14" spans="1:2" x14ac:dyDescent="0.25">
      <c r="A14" s="3" t="s">
        <v>12</v>
      </c>
      <c r="B14" s="3">
        <v>483.79199999999997</v>
      </c>
    </row>
    <row r="15" spans="1:2" x14ac:dyDescent="0.25">
      <c r="A15" s="3" t="s">
        <v>13</v>
      </c>
      <c r="B15" s="3">
        <v>19</v>
      </c>
    </row>
    <row r="16" spans="1:2" x14ac:dyDescent="0.25">
      <c r="A16" s="4" t="s">
        <v>14</v>
      </c>
      <c r="B16" s="4">
        <v>5.5559757662156253</v>
      </c>
    </row>
    <row r="19" spans="1:2" x14ac:dyDescent="0.25">
      <c r="A19" s="3" t="s">
        <v>34</v>
      </c>
      <c r="B19" s="3">
        <f>B3/B7*100</f>
        <v>220.89092585557211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15" x14ac:dyDescent="0.25">
      <c r="A1" s="2"/>
      <c r="B1" s="2" t="s">
        <v>33</v>
      </c>
      <c r="C1" s="2" t="s">
        <v>0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 spans="1:15" x14ac:dyDescent="0.25">
      <c r="A2" s="3" t="s">
        <v>33</v>
      </c>
      <c r="B2" s="3">
        <v>1</v>
      </c>
    </row>
    <row r="3" spans="1:15" x14ac:dyDescent="0.25">
      <c r="A3" s="3" t="s">
        <v>0</v>
      </c>
      <c r="B3" s="3">
        <v>0.494525507183873</v>
      </c>
      <c r="C3" s="3">
        <v>1</v>
      </c>
    </row>
    <row r="4" spans="1:15" x14ac:dyDescent="0.25">
      <c r="A4" s="3" t="s">
        <v>19</v>
      </c>
      <c r="B4" s="3">
        <v>-9.061540422347264E-2</v>
      </c>
      <c r="C4" s="3">
        <v>-0.51752323109803977</v>
      </c>
      <c r="D4" s="3">
        <v>1</v>
      </c>
    </row>
    <row r="5" spans="1:15" x14ac:dyDescent="0.25">
      <c r="A5" s="3" t="s">
        <v>20</v>
      </c>
      <c r="B5" s="3">
        <v>-0.31689413867173472</v>
      </c>
      <c r="C5" s="3">
        <v>-0.77418311840318665</v>
      </c>
      <c r="D5" s="3">
        <v>0.70316388302546573</v>
      </c>
      <c r="E5" s="3">
        <v>1</v>
      </c>
    </row>
    <row r="6" spans="1:15" x14ac:dyDescent="0.25">
      <c r="A6" s="3" t="s">
        <v>21</v>
      </c>
      <c r="B6" s="3">
        <v>0.1508994528712071</v>
      </c>
      <c r="C6" s="3">
        <v>-0.34954947157259086</v>
      </c>
      <c r="D6" s="3">
        <v>0.77657342971486132</v>
      </c>
      <c r="E6" s="3">
        <v>0.73598062727061264</v>
      </c>
      <c r="F6" s="3">
        <v>1</v>
      </c>
    </row>
    <row r="7" spans="1:15" x14ac:dyDescent="0.25">
      <c r="A7" s="3" t="s">
        <v>22</v>
      </c>
      <c r="B7" s="3">
        <v>0.2426153726314805</v>
      </c>
      <c r="C7" s="3">
        <v>0.60919849701436635</v>
      </c>
      <c r="D7" s="3">
        <v>-0.76410046723809844</v>
      </c>
      <c r="E7" s="3">
        <v>-0.66512207280521429</v>
      </c>
      <c r="F7" s="3">
        <v>-0.39253637343717301</v>
      </c>
      <c r="G7" s="3">
        <v>1</v>
      </c>
    </row>
    <row r="8" spans="1:15" x14ac:dyDescent="0.25">
      <c r="A8" s="3" t="s">
        <v>23</v>
      </c>
      <c r="B8" s="3">
        <v>-0.35305742433902909</v>
      </c>
      <c r="C8" s="3">
        <v>-0.74827774380200185</v>
      </c>
      <c r="D8" s="3">
        <v>0.82878674513137762</v>
      </c>
      <c r="E8" s="3">
        <v>0.79855891935737844</v>
      </c>
      <c r="F8" s="3">
        <v>0.65423009269479515</v>
      </c>
      <c r="G8" s="3">
        <v>-0.72372831881408328</v>
      </c>
      <c r="H8" s="3">
        <v>1</v>
      </c>
    </row>
    <row r="9" spans="1:15" x14ac:dyDescent="0.25">
      <c r="A9" s="3" t="s">
        <v>24</v>
      </c>
      <c r="B9" s="3">
        <v>-0.21669414692348918</v>
      </c>
      <c r="C9" s="3">
        <v>-0.74316961121270519</v>
      </c>
      <c r="D9" s="3">
        <v>0.75607851152297445</v>
      </c>
      <c r="E9" s="3">
        <v>0.79815720905882481</v>
      </c>
      <c r="F9" s="3">
        <v>0.6561611907866387</v>
      </c>
      <c r="G9" s="3">
        <v>-0.6266653608061552</v>
      </c>
      <c r="H9" s="3">
        <v>0.83924150621134197</v>
      </c>
      <c r="I9" s="3">
        <v>1</v>
      </c>
    </row>
    <row r="10" spans="1:15" x14ac:dyDescent="0.25">
      <c r="A10" s="3" t="s">
        <v>25</v>
      </c>
      <c r="B10" s="3">
        <v>-0.55650628759701559</v>
      </c>
      <c r="C10" s="3">
        <v>-0.89469703358705965</v>
      </c>
      <c r="D10" s="3">
        <v>0.673187725778855</v>
      </c>
      <c r="E10" s="3">
        <v>0.90668185613862251</v>
      </c>
      <c r="F10" s="3">
        <v>0.50981556876220946</v>
      </c>
      <c r="G10" s="3">
        <v>-0.66107577596231026</v>
      </c>
      <c r="H10" s="3">
        <v>0.83134153741158179</v>
      </c>
      <c r="I10" s="3">
        <v>0.82548521792571472</v>
      </c>
      <c r="J10" s="3">
        <v>1</v>
      </c>
    </row>
    <row r="11" spans="1:15" x14ac:dyDescent="0.25">
      <c r="A11" s="3" t="s">
        <v>26</v>
      </c>
      <c r="B11" s="3">
        <v>-0.28378014011107144</v>
      </c>
      <c r="C11" s="3">
        <v>-0.63835445546447145</v>
      </c>
      <c r="D11" s="3">
        <v>0.42979437033817525</v>
      </c>
      <c r="E11" s="3">
        <v>0.79434026646933587</v>
      </c>
      <c r="F11" s="3">
        <v>0.53463268302038058</v>
      </c>
      <c r="G11" s="3">
        <v>-0.31738395876760267</v>
      </c>
      <c r="H11" s="3">
        <v>0.62163830226594219</v>
      </c>
      <c r="I11" s="3">
        <v>0.70373684941502801</v>
      </c>
      <c r="J11" s="3">
        <v>0.75858368045975444</v>
      </c>
      <c r="K11" s="3">
        <v>1</v>
      </c>
    </row>
    <row r="12" spans="1:15" x14ac:dyDescent="0.25">
      <c r="A12" s="3" t="s">
        <v>27</v>
      </c>
      <c r="B12" s="3">
        <v>8.123545229071065E-2</v>
      </c>
      <c r="C12" s="3">
        <v>-0.37716136753676677</v>
      </c>
      <c r="D12" s="3">
        <v>0.27299863420992315</v>
      </c>
      <c r="E12" s="3">
        <v>0.49630265814790558</v>
      </c>
      <c r="F12" s="3">
        <v>0.59449968154057298</v>
      </c>
      <c r="G12" s="3">
        <v>5.3542397369542125E-2</v>
      </c>
      <c r="H12" s="3">
        <v>0.24522682957444283</v>
      </c>
      <c r="I12" s="3">
        <v>0.42613358283851271</v>
      </c>
      <c r="J12" s="3">
        <v>0.36761707007401967</v>
      </c>
      <c r="K12" s="3">
        <v>0.63140926850009849</v>
      </c>
      <c r="L12" s="3">
        <v>1</v>
      </c>
    </row>
    <row r="13" spans="1:15" x14ac:dyDescent="0.25">
      <c r="A13" s="3" t="s">
        <v>28</v>
      </c>
      <c r="B13" s="3">
        <v>-0.31821076444454988</v>
      </c>
      <c r="C13" s="3">
        <v>-0.57598765392298401</v>
      </c>
      <c r="D13" s="3">
        <v>0.46909288318577252</v>
      </c>
      <c r="E13" s="3">
        <v>0.71479032522499308</v>
      </c>
      <c r="F13" s="3">
        <v>0.58460364422696165</v>
      </c>
      <c r="G13" s="3">
        <v>-0.26024633309679251</v>
      </c>
      <c r="H13" s="3">
        <v>0.48969786159828887</v>
      </c>
      <c r="I13" s="3">
        <v>0.57311962410863615</v>
      </c>
      <c r="J13" s="3">
        <v>0.67182730037469529</v>
      </c>
      <c r="K13" s="3">
        <v>0.751339735684595</v>
      </c>
      <c r="L13" s="3">
        <v>0.73198749332706647</v>
      </c>
      <c r="M13" s="3">
        <v>1</v>
      </c>
    </row>
    <row r="14" spans="1:15" x14ac:dyDescent="0.25">
      <c r="A14" s="3" t="s">
        <v>29</v>
      </c>
      <c r="B14" s="3">
        <v>-0.67056231426125967</v>
      </c>
      <c r="C14" s="3">
        <v>-0.86977453144056638</v>
      </c>
      <c r="D14" s="3">
        <v>0.35694207710112991</v>
      </c>
      <c r="E14" s="3">
        <v>0.67039461475410889</v>
      </c>
      <c r="F14" s="3">
        <v>0.16834566580397897</v>
      </c>
      <c r="G14" s="3">
        <v>-0.48465243849358092</v>
      </c>
      <c r="H14" s="3">
        <v>0.63137782082277039</v>
      </c>
      <c r="I14" s="3">
        <v>0.61945899467458987</v>
      </c>
      <c r="J14" s="3">
        <v>0.8421960397996483</v>
      </c>
      <c r="K14" s="3">
        <v>0.54885640258141444</v>
      </c>
      <c r="L14" s="3">
        <v>9.1004809345670429E-2</v>
      </c>
      <c r="M14" s="3">
        <v>0.46330630424734837</v>
      </c>
      <c r="N14" s="3">
        <v>1</v>
      </c>
    </row>
    <row r="15" spans="1:15" x14ac:dyDescent="0.25">
      <c r="A15" s="4" t="s">
        <v>30</v>
      </c>
      <c r="B15" s="4">
        <v>-0.49585406942206794</v>
      </c>
      <c r="C15" s="4">
        <v>-0.4598375457714422</v>
      </c>
      <c r="D15" s="4">
        <v>-0.11366723131984748</v>
      </c>
      <c r="E15" s="4">
        <v>0.14880480445158706</v>
      </c>
      <c r="F15" s="4">
        <v>-0.23727977296758851</v>
      </c>
      <c r="G15" s="4">
        <v>0.12305865016395076</v>
      </c>
      <c r="H15" s="4">
        <v>0.15775618767507882</v>
      </c>
      <c r="I15" s="4">
        <v>0.120527249030063</v>
      </c>
      <c r="J15" s="4">
        <v>0.41431192938118783</v>
      </c>
      <c r="K15" s="4">
        <v>0.18729320855137463</v>
      </c>
      <c r="L15" s="4">
        <v>-5.8200923077753999E-2</v>
      </c>
      <c r="M15" s="4">
        <v>4.2521347974869506E-2</v>
      </c>
      <c r="N15" s="4">
        <v>0.61586188008896248</v>
      </c>
      <c r="O15" s="4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B2:O1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3" x14ac:dyDescent="0.25">
      <c r="A1" s="2"/>
      <c r="B1" s="2" t="s">
        <v>32</v>
      </c>
      <c r="C1" s="2" t="s">
        <v>33</v>
      </c>
    </row>
    <row r="2" spans="1:3" x14ac:dyDescent="0.25">
      <c r="A2" s="3" t="s">
        <v>32</v>
      </c>
      <c r="B2" s="3">
        <v>1</v>
      </c>
    </row>
    <row r="3" spans="1:3" x14ac:dyDescent="0.25">
      <c r="A3" s="4" t="s">
        <v>33</v>
      </c>
      <c r="B3" s="4">
        <v>-0.64894445964290204</v>
      </c>
      <c r="C3" s="4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B2:C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15" x14ac:dyDescent="0.25">
      <c r="A1" s="2"/>
      <c r="B1" s="2" t="s">
        <v>32</v>
      </c>
      <c r="C1" s="2" t="s">
        <v>0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 spans="1:15" x14ac:dyDescent="0.25">
      <c r="A2" s="3" t="s">
        <v>32</v>
      </c>
      <c r="B2" s="3">
        <v>1</v>
      </c>
    </row>
    <row r="3" spans="1:15" x14ac:dyDescent="0.25">
      <c r="A3" s="3" t="s">
        <v>0</v>
      </c>
      <c r="B3" s="3">
        <v>-0.50711859309419127</v>
      </c>
      <c r="C3" s="3">
        <v>1</v>
      </c>
    </row>
    <row r="4" spans="1:15" x14ac:dyDescent="0.25">
      <c r="A4" s="3" t="s">
        <v>19</v>
      </c>
      <c r="B4" s="3">
        <v>0.42888626172847955</v>
      </c>
      <c r="C4" s="3">
        <v>-0.51752323109803977</v>
      </c>
      <c r="D4" s="3">
        <v>1</v>
      </c>
    </row>
    <row r="5" spans="1:15" x14ac:dyDescent="0.25">
      <c r="A5" s="3" t="s">
        <v>20</v>
      </c>
      <c r="B5" s="3">
        <v>0.46795889818328751</v>
      </c>
      <c r="C5" s="3">
        <v>-0.77418311840318665</v>
      </c>
      <c r="D5" s="3">
        <v>0.70316388302546573</v>
      </c>
      <c r="E5" s="3">
        <v>1</v>
      </c>
    </row>
    <row r="6" spans="1:15" x14ac:dyDescent="0.25">
      <c r="A6" s="3" t="s">
        <v>21</v>
      </c>
      <c r="B6" s="3">
        <v>5.7103544537934585E-2</v>
      </c>
      <c r="C6" s="3">
        <v>-0.34954947157259086</v>
      </c>
      <c r="D6" s="3">
        <v>0.77657342971486132</v>
      </c>
      <c r="E6" s="3">
        <v>0.73598062727061264</v>
      </c>
      <c r="F6" s="3">
        <v>1</v>
      </c>
    </row>
    <row r="7" spans="1:15" x14ac:dyDescent="0.25">
      <c r="A7" s="3" t="s">
        <v>22</v>
      </c>
      <c r="B7" s="3">
        <v>-0.73630762298115171</v>
      </c>
      <c r="C7" s="3">
        <v>0.60919849701436635</v>
      </c>
      <c r="D7" s="3">
        <v>-0.76410046723809844</v>
      </c>
      <c r="E7" s="3">
        <v>-0.66512207280521429</v>
      </c>
      <c r="F7" s="3">
        <v>-0.39253637343717301</v>
      </c>
      <c r="G7" s="3">
        <v>1</v>
      </c>
    </row>
    <row r="8" spans="1:15" x14ac:dyDescent="0.25">
      <c r="A8" s="3" t="s">
        <v>23</v>
      </c>
      <c r="B8" s="3">
        <v>0.51687653489789798</v>
      </c>
      <c r="C8" s="3">
        <v>-0.74827774380200185</v>
      </c>
      <c r="D8" s="3">
        <v>0.82878674513137762</v>
      </c>
      <c r="E8" s="3">
        <v>0.79855891935737844</v>
      </c>
      <c r="F8" s="3">
        <v>0.65423009269479515</v>
      </c>
      <c r="G8" s="3">
        <v>-0.72372831881408328</v>
      </c>
      <c r="H8" s="3">
        <v>1</v>
      </c>
    </row>
    <row r="9" spans="1:15" x14ac:dyDescent="0.25">
      <c r="A9" s="3" t="s">
        <v>24</v>
      </c>
      <c r="B9" s="3">
        <v>0.37069613696814502</v>
      </c>
      <c r="C9" s="3">
        <v>-0.74316961121270519</v>
      </c>
      <c r="D9" s="3">
        <v>0.75607851152297445</v>
      </c>
      <c r="E9" s="3">
        <v>0.79815720905882481</v>
      </c>
      <c r="F9" s="3">
        <v>0.6561611907866387</v>
      </c>
      <c r="G9" s="3">
        <v>-0.6266653608061552</v>
      </c>
      <c r="H9" s="3">
        <v>0.83924150621134197</v>
      </c>
      <c r="I9" s="3">
        <v>1</v>
      </c>
    </row>
    <row r="10" spans="1:15" x14ac:dyDescent="0.25">
      <c r="A10" s="3" t="s">
        <v>25</v>
      </c>
      <c r="B10" s="3">
        <v>0.57779871413145778</v>
      </c>
      <c r="C10" s="3">
        <v>-0.89469703358705965</v>
      </c>
      <c r="D10" s="3">
        <v>0.673187725778855</v>
      </c>
      <c r="E10" s="3">
        <v>0.90668185613862251</v>
      </c>
      <c r="F10" s="3">
        <v>0.50981556876220946</v>
      </c>
      <c r="G10" s="3">
        <v>-0.66107577596231026</v>
      </c>
      <c r="H10" s="3">
        <v>0.83134153741158179</v>
      </c>
      <c r="I10" s="3">
        <v>0.82548521792571472</v>
      </c>
      <c r="J10" s="3">
        <v>1</v>
      </c>
    </row>
    <row r="11" spans="1:15" x14ac:dyDescent="0.25">
      <c r="A11" s="3" t="s">
        <v>26</v>
      </c>
      <c r="B11" s="3">
        <v>0.18579664923661374</v>
      </c>
      <c r="C11" s="3">
        <v>-0.63835445546447145</v>
      </c>
      <c r="D11" s="3">
        <v>0.42979437033817525</v>
      </c>
      <c r="E11" s="3">
        <v>0.79434026646933587</v>
      </c>
      <c r="F11" s="3">
        <v>0.53463268302038058</v>
      </c>
      <c r="G11" s="3">
        <v>-0.31738395876760267</v>
      </c>
      <c r="H11" s="3">
        <v>0.62163830226594219</v>
      </c>
      <c r="I11" s="3">
        <v>0.70373684941502801</v>
      </c>
      <c r="J11" s="3">
        <v>0.75858368045975444</v>
      </c>
      <c r="K11" s="3">
        <v>1</v>
      </c>
    </row>
    <row r="12" spans="1:15" x14ac:dyDescent="0.25">
      <c r="A12" s="3" t="s">
        <v>27</v>
      </c>
      <c r="B12" s="3">
        <v>-0.38335714972584389</v>
      </c>
      <c r="C12" s="3">
        <v>-0.37716136753676677</v>
      </c>
      <c r="D12" s="3">
        <v>0.27299863420992315</v>
      </c>
      <c r="E12" s="3">
        <v>0.49630265814790558</v>
      </c>
      <c r="F12" s="3">
        <v>0.59449968154057298</v>
      </c>
      <c r="G12" s="3">
        <v>5.3542397369542125E-2</v>
      </c>
      <c r="H12" s="3">
        <v>0.24522682957444283</v>
      </c>
      <c r="I12" s="3">
        <v>0.42613358283851271</v>
      </c>
      <c r="J12" s="3">
        <v>0.36761707007401967</v>
      </c>
      <c r="K12" s="3">
        <v>0.63140926850009849</v>
      </c>
      <c r="L12" s="3">
        <v>1</v>
      </c>
    </row>
    <row r="13" spans="1:15" x14ac:dyDescent="0.25">
      <c r="A13" s="3" t="s">
        <v>28</v>
      </c>
      <c r="B13" s="3">
        <v>0.16051140111146894</v>
      </c>
      <c r="C13" s="3">
        <v>-0.57598765392298401</v>
      </c>
      <c r="D13" s="3">
        <v>0.46909288318577252</v>
      </c>
      <c r="E13" s="3">
        <v>0.71479032522499308</v>
      </c>
      <c r="F13" s="3">
        <v>0.58460364422696165</v>
      </c>
      <c r="G13" s="3">
        <v>-0.26024633309679251</v>
      </c>
      <c r="H13" s="3">
        <v>0.48969786159828887</v>
      </c>
      <c r="I13" s="3">
        <v>0.57311962410863615</v>
      </c>
      <c r="J13" s="3">
        <v>0.67182730037469529</v>
      </c>
      <c r="K13" s="3">
        <v>0.751339735684595</v>
      </c>
      <c r="L13" s="3">
        <v>0.73198749332706647</v>
      </c>
      <c r="M13" s="3">
        <v>1</v>
      </c>
    </row>
    <row r="14" spans="1:15" x14ac:dyDescent="0.25">
      <c r="A14" s="3" t="s">
        <v>29</v>
      </c>
      <c r="B14" s="3">
        <v>0.69619273414287597</v>
      </c>
      <c r="C14" s="3">
        <v>-0.86977453144056638</v>
      </c>
      <c r="D14" s="3">
        <v>0.35694207710112991</v>
      </c>
      <c r="E14" s="3">
        <v>0.67039461475410889</v>
      </c>
      <c r="F14" s="3">
        <v>0.16834566580397897</v>
      </c>
      <c r="G14" s="3">
        <v>-0.48465243849358092</v>
      </c>
      <c r="H14" s="3">
        <v>0.63137782082277039</v>
      </c>
      <c r="I14" s="3">
        <v>0.61945899467458987</v>
      </c>
      <c r="J14" s="3">
        <v>0.8421960397996483</v>
      </c>
      <c r="K14" s="3">
        <v>0.54885640258141444</v>
      </c>
      <c r="L14" s="3">
        <v>9.1004809345670429E-2</v>
      </c>
      <c r="M14" s="3">
        <v>0.46330630424734837</v>
      </c>
      <c r="N14" s="3">
        <v>1</v>
      </c>
    </row>
    <row r="15" spans="1:15" x14ac:dyDescent="0.25">
      <c r="A15" s="4" t="s">
        <v>30</v>
      </c>
      <c r="B15" s="4">
        <v>0.17373369974141117</v>
      </c>
      <c r="C15" s="4">
        <v>-0.4598375457714422</v>
      </c>
      <c r="D15" s="4">
        <v>-0.11366723131984748</v>
      </c>
      <c r="E15" s="4">
        <v>0.14880480445158706</v>
      </c>
      <c r="F15" s="4">
        <v>-0.23727977296758851</v>
      </c>
      <c r="G15" s="4">
        <v>0.12305865016395076</v>
      </c>
      <c r="H15" s="4">
        <v>0.15775618767507882</v>
      </c>
      <c r="I15" s="4">
        <v>0.120527249030063</v>
      </c>
      <c r="J15" s="4">
        <v>0.41431192938118783</v>
      </c>
      <c r="K15" s="4">
        <v>0.18729320855137463</v>
      </c>
      <c r="L15" s="4">
        <v>-5.8200923077753999E-2</v>
      </c>
      <c r="M15" s="4">
        <v>4.2521347974869506E-2</v>
      </c>
      <c r="N15" s="4">
        <v>0.61586188008896248</v>
      </c>
      <c r="O15" s="4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1:O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O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63BE7B"/>
        <color rgb="FFFCFCFF"/>
      </colorScale>
    </cfRule>
  </conditionalFormatting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81FB-5FCA-448E-866D-AFF4536D370C}">
  <dimension ref="A1:B16"/>
  <sheetViews>
    <sheetView workbookViewId="0"/>
  </sheetViews>
  <sheetFormatPr defaultRowHeight="15" x14ac:dyDescent="0.25"/>
  <sheetData>
    <row r="1" spans="1:2" x14ac:dyDescent="0.25">
      <c r="A1" s="1" t="s">
        <v>38</v>
      </c>
      <c r="B1" s="12"/>
    </row>
    <row r="3" spans="1:2" x14ac:dyDescent="0.25">
      <c r="A3" t="s">
        <v>1</v>
      </c>
      <c r="B3">
        <v>41.731578947368412</v>
      </c>
    </row>
    <row r="4" spans="1:2" x14ac:dyDescent="0.25">
      <c r="A4" t="s">
        <v>2</v>
      </c>
      <c r="B4">
        <v>2.1891953264351081</v>
      </c>
    </row>
    <row r="5" spans="1:2" x14ac:dyDescent="0.25">
      <c r="A5" t="s">
        <v>3</v>
      </c>
      <c r="B5">
        <v>42.8</v>
      </c>
    </row>
    <row r="6" spans="1:2" x14ac:dyDescent="0.25">
      <c r="A6" t="s">
        <v>4</v>
      </c>
      <c r="B6">
        <v>42.9</v>
      </c>
    </row>
    <row r="7" spans="1:2" x14ac:dyDescent="0.25">
      <c r="A7" t="s">
        <v>5</v>
      </c>
      <c r="B7">
        <v>9.5424811956021731</v>
      </c>
    </row>
    <row r="8" spans="1:2" x14ac:dyDescent="0.25">
      <c r="A8" t="s">
        <v>6</v>
      </c>
      <c r="B8">
        <v>91.058947368421087</v>
      </c>
    </row>
    <row r="9" spans="1:2" x14ac:dyDescent="0.25">
      <c r="A9" t="s">
        <v>7</v>
      </c>
      <c r="B9">
        <v>-0.68863236963928864</v>
      </c>
    </row>
    <row r="10" spans="1:2" x14ac:dyDescent="0.25">
      <c r="A10" t="s">
        <v>8</v>
      </c>
      <c r="B10">
        <v>0.14547202755721428</v>
      </c>
    </row>
    <row r="11" spans="1:2" x14ac:dyDescent="0.25">
      <c r="A11" t="s">
        <v>9</v>
      </c>
      <c r="B11">
        <v>34.699999999999996</v>
      </c>
    </row>
    <row r="12" spans="1:2" x14ac:dyDescent="0.25">
      <c r="A12" t="s">
        <v>10</v>
      </c>
      <c r="B12">
        <v>25.6</v>
      </c>
    </row>
    <row r="13" spans="1:2" x14ac:dyDescent="0.25">
      <c r="A13" t="s">
        <v>11</v>
      </c>
      <c r="B13">
        <v>60.3</v>
      </c>
    </row>
    <row r="14" spans="1:2" x14ac:dyDescent="0.25">
      <c r="A14" t="s">
        <v>12</v>
      </c>
      <c r="B14">
        <v>792.89999999999986</v>
      </c>
    </row>
    <row r="15" spans="1:2" x14ac:dyDescent="0.25">
      <c r="A15" t="s">
        <v>13</v>
      </c>
      <c r="B15">
        <v>19</v>
      </c>
    </row>
    <row r="16" spans="1:2" ht="15.75" thickBot="1" x14ac:dyDescent="0.3">
      <c r="A16" s="10" t="s">
        <v>14</v>
      </c>
      <c r="B16" s="10">
        <v>4.599328711700192</v>
      </c>
    </row>
  </sheetData>
  <conditionalFormatting sqref="A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352B-F7B1-4B2B-8820-ECB372EBEAE0}">
  <dimension ref="A1:B16"/>
  <sheetViews>
    <sheetView workbookViewId="0"/>
  </sheetViews>
  <sheetFormatPr defaultRowHeight="15" x14ac:dyDescent="0.25"/>
  <sheetData>
    <row r="1" spans="1:2" x14ac:dyDescent="0.25">
      <c r="A1" s="1" t="s">
        <v>39</v>
      </c>
      <c r="B1" s="12"/>
    </row>
    <row r="3" spans="1:2" x14ac:dyDescent="0.25">
      <c r="A3" t="s">
        <v>1</v>
      </c>
      <c r="B3">
        <v>56.357894736842113</v>
      </c>
    </row>
    <row r="4" spans="1:2" x14ac:dyDescent="0.25">
      <c r="A4" t="s">
        <v>2</v>
      </c>
      <c r="B4">
        <v>1.8814470570877468</v>
      </c>
    </row>
    <row r="5" spans="1:2" x14ac:dyDescent="0.25">
      <c r="A5" t="s">
        <v>3</v>
      </c>
      <c r="B5">
        <v>55.6</v>
      </c>
    </row>
    <row r="6" spans="1:2" x14ac:dyDescent="0.25">
      <c r="A6" t="s">
        <v>4</v>
      </c>
      <c r="B6">
        <v>55.6</v>
      </c>
    </row>
    <row r="7" spans="1:2" x14ac:dyDescent="0.25">
      <c r="A7" t="s">
        <v>5</v>
      </c>
      <c r="B7">
        <v>8.2010375894674894</v>
      </c>
    </row>
    <row r="8" spans="1:2" x14ac:dyDescent="0.25">
      <c r="A8" t="s">
        <v>6</v>
      </c>
      <c r="B8">
        <v>67.257017543858737</v>
      </c>
    </row>
    <row r="9" spans="1:2" x14ac:dyDescent="0.25">
      <c r="A9" t="s">
        <v>7</v>
      </c>
      <c r="B9">
        <v>-0.14934519788098566</v>
      </c>
    </row>
    <row r="10" spans="1:2" x14ac:dyDescent="0.25">
      <c r="A10" t="s">
        <v>8</v>
      </c>
      <c r="B10">
        <v>-5.356404355146132E-2</v>
      </c>
    </row>
    <row r="11" spans="1:2" x14ac:dyDescent="0.25">
      <c r="A11" t="s">
        <v>9</v>
      </c>
      <c r="B11">
        <v>32.900000000000006</v>
      </c>
    </row>
    <row r="12" spans="1:2" x14ac:dyDescent="0.25">
      <c r="A12" t="s">
        <v>10</v>
      </c>
      <c r="B12">
        <v>39.799999999999997</v>
      </c>
    </row>
    <row r="13" spans="1:2" x14ac:dyDescent="0.25">
      <c r="A13" t="s">
        <v>11</v>
      </c>
      <c r="B13">
        <v>72.7</v>
      </c>
    </row>
    <row r="14" spans="1:2" x14ac:dyDescent="0.25">
      <c r="A14" t="s">
        <v>12</v>
      </c>
      <c r="B14">
        <v>1070.8000000000002</v>
      </c>
    </row>
    <row r="15" spans="1:2" x14ac:dyDescent="0.25">
      <c r="A15" t="s">
        <v>13</v>
      </c>
      <c r="B15">
        <v>19</v>
      </c>
    </row>
    <row r="16" spans="1:2" ht="15.75" thickBot="1" x14ac:dyDescent="0.3">
      <c r="A16" s="10" t="s">
        <v>14</v>
      </c>
      <c r="B16" s="10">
        <v>3.9527735897822853</v>
      </c>
    </row>
  </sheetData>
  <conditionalFormatting sqref="A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DE0D-4E43-4FB1-8F1B-3886F161FEB8}">
  <dimension ref="A1:B16"/>
  <sheetViews>
    <sheetView workbookViewId="0"/>
  </sheetViews>
  <sheetFormatPr defaultRowHeight="15" x14ac:dyDescent="0.25"/>
  <sheetData>
    <row r="1" spans="1:2" x14ac:dyDescent="0.25">
      <c r="A1" s="1" t="s">
        <v>40</v>
      </c>
      <c r="B1" s="12"/>
    </row>
    <row r="3" spans="1:2" x14ac:dyDescent="0.25">
      <c r="A3" t="s">
        <v>1</v>
      </c>
      <c r="B3">
        <v>1.1789473684210525</v>
      </c>
    </row>
    <row r="4" spans="1:2" x14ac:dyDescent="0.25">
      <c r="A4" t="s">
        <v>2</v>
      </c>
      <c r="B4">
        <v>0.39489275673249657</v>
      </c>
    </row>
    <row r="5" spans="1:2" x14ac:dyDescent="0.25">
      <c r="A5" t="s">
        <v>3</v>
      </c>
      <c r="B5">
        <v>0.3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1.7212976201331436</v>
      </c>
    </row>
    <row r="8" spans="1:2" x14ac:dyDescent="0.25">
      <c r="A8" t="s">
        <v>6</v>
      </c>
      <c r="B8">
        <v>2.9628654970760242</v>
      </c>
    </row>
    <row r="9" spans="1:2" x14ac:dyDescent="0.25">
      <c r="A9" t="s">
        <v>7</v>
      </c>
      <c r="B9">
        <v>2.2925068036703355</v>
      </c>
    </row>
    <row r="10" spans="1:2" x14ac:dyDescent="0.25">
      <c r="A10" t="s">
        <v>8</v>
      </c>
      <c r="B10">
        <v>1.7085295444580157</v>
      </c>
    </row>
    <row r="11" spans="1:2" x14ac:dyDescent="0.25">
      <c r="A11" t="s">
        <v>9</v>
      </c>
      <c r="B11">
        <v>6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6</v>
      </c>
    </row>
    <row r="14" spans="1:2" x14ac:dyDescent="0.25">
      <c r="A14" t="s">
        <v>12</v>
      </c>
      <c r="B14">
        <v>22.4</v>
      </c>
    </row>
    <row r="15" spans="1:2" x14ac:dyDescent="0.25">
      <c r="A15" t="s">
        <v>13</v>
      </c>
      <c r="B15">
        <v>19</v>
      </c>
    </row>
    <row r="16" spans="1:2" ht="15.75" thickBot="1" x14ac:dyDescent="0.3">
      <c r="A16" s="10" t="s">
        <v>14</v>
      </c>
      <c r="B16" s="10">
        <v>0.82963889615084452</v>
      </c>
    </row>
  </sheetData>
  <conditionalFormatting sqref="A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8F41-7DC5-499A-AFBD-59F7AEC8984F}">
  <dimension ref="A1:W23"/>
  <sheetViews>
    <sheetView workbookViewId="0">
      <selection activeCell="N37" sqref="N37"/>
    </sheetView>
  </sheetViews>
  <sheetFormatPr defaultRowHeight="15" x14ac:dyDescent="0.25"/>
  <sheetData>
    <row r="1" spans="1:23" x14ac:dyDescent="0.25">
      <c r="A1" s="11"/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32</v>
      </c>
      <c r="H1" s="11" t="s">
        <v>35</v>
      </c>
      <c r="I1" s="11" t="s">
        <v>36</v>
      </c>
      <c r="J1" s="11" t="s">
        <v>33</v>
      </c>
      <c r="K1" s="11" t="s">
        <v>0</v>
      </c>
      <c r="L1" s="11" t="s">
        <v>19</v>
      </c>
      <c r="M1" s="11" t="s">
        <v>20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  <c r="V1" s="11" t="s">
        <v>29</v>
      </c>
      <c r="W1" s="11" t="s">
        <v>30</v>
      </c>
    </row>
    <row r="2" spans="1:23" x14ac:dyDescent="0.25">
      <c r="A2" t="s">
        <v>38</v>
      </c>
      <c r="B2">
        <v>1</v>
      </c>
    </row>
    <row r="3" spans="1:23" x14ac:dyDescent="0.25">
      <c r="A3" t="s">
        <v>39</v>
      </c>
      <c r="B3">
        <v>-0.88901154911110802</v>
      </c>
      <c r="C3">
        <v>1</v>
      </c>
    </row>
    <row r="4" spans="1:23" x14ac:dyDescent="0.25">
      <c r="A4" t="s">
        <v>40</v>
      </c>
      <c r="B4">
        <v>-0.5031736551842162</v>
      </c>
      <c r="C4">
        <v>0.20698171086646416</v>
      </c>
      <c r="D4">
        <v>1</v>
      </c>
    </row>
    <row r="5" spans="1:23" x14ac:dyDescent="0.25">
      <c r="A5" t="s">
        <v>41</v>
      </c>
      <c r="B5">
        <v>-0.45516469891835437</v>
      </c>
      <c r="C5">
        <v>0.44632933399111968</v>
      </c>
      <c r="D5">
        <v>-0.1558812016193562</v>
      </c>
      <c r="E5">
        <v>1</v>
      </c>
    </row>
    <row r="6" spans="1:23" x14ac:dyDescent="0.25">
      <c r="A6" t="s">
        <v>42</v>
      </c>
      <c r="B6">
        <v>-0.74567405294271871</v>
      </c>
      <c r="C6">
        <v>0.58115266076284899</v>
      </c>
      <c r="D6">
        <v>0.51733969733709195</v>
      </c>
      <c r="E6">
        <v>0.57533776648931445</v>
      </c>
      <c r="F6">
        <v>1</v>
      </c>
    </row>
    <row r="7" spans="1:23" x14ac:dyDescent="0.25">
      <c r="A7" t="s">
        <v>32</v>
      </c>
      <c r="B7">
        <v>0.59494498389936668</v>
      </c>
      <c r="C7">
        <v>-0.42718330448004949</v>
      </c>
      <c r="D7">
        <v>-0.74795780102662146</v>
      </c>
      <c r="E7">
        <v>-6.6259994055067634E-2</v>
      </c>
      <c r="F7">
        <v>-0.83984755636492625</v>
      </c>
      <c r="G7">
        <v>1</v>
      </c>
    </row>
    <row r="8" spans="1:23" x14ac:dyDescent="0.25">
      <c r="A8" t="s">
        <v>35</v>
      </c>
      <c r="B8">
        <v>-0.91648906179599909</v>
      </c>
      <c r="C8">
        <v>0.79437629486863026</v>
      </c>
      <c r="D8">
        <v>0.48402348046720395</v>
      </c>
      <c r="E8">
        <v>0.37727096778652813</v>
      </c>
      <c r="F8">
        <v>0.82607495702339595</v>
      </c>
      <c r="G8">
        <v>-0.74379324896397481</v>
      </c>
      <c r="H8">
        <v>1</v>
      </c>
    </row>
    <row r="9" spans="1:23" x14ac:dyDescent="0.25">
      <c r="A9" t="s">
        <v>36</v>
      </c>
      <c r="B9">
        <v>-0.5086553048976924</v>
      </c>
      <c r="C9">
        <v>0.24033192093332267</v>
      </c>
      <c r="D9">
        <v>0.88552718839612166</v>
      </c>
      <c r="E9">
        <v>-2.1978631026510011E-2</v>
      </c>
      <c r="F9">
        <v>0.50681801172600993</v>
      </c>
      <c r="G9">
        <v>-0.62047734123780451</v>
      </c>
      <c r="H9">
        <v>0.42116047558333503</v>
      </c>
      <c r="I9">
        <v>1</v>
      </c>
    </row>
    <row r="10" spans="1:23" x14ac:dyDescent="0.25">
      <c r="A10" t="s">
        <v>33</v>
      </c>
      <c r="B10">
        <v>-0.94318329675140722</v>
      </c>
      <c r="C10">
        <v>0.70396003481805802</v>
      </c>
      <c r="D10">
        <v>0.63968438818259898</v>
      </c>
      <c r="E10">
        <v>0.41106824002040304</v>
      </c>
      <c r="F10">
        <v>0.79012388982892146</v>
      </c>
      <c r="G10">
        <v>-0.64894445964290204</v>
      </c>
      <c r="H10">
        <v>0.89183794329545807</v>
      </c>
      <c r="I10">
        <v>0.64741498174301138</v>
      </c>
      <c r="J10">
        <v>1</v>
      </c>
    </row>
    <row r="11" spans="1:23" x14ac:dyDescent="0.25">
      <c r="A11" t="s">
        <v>0</v>
      </c>
      <c r="B11">
        <v>-0.55065841188110154</v>
      </c>
      <c r="C11">
        <v>0.45871846684325257</v>
      </c>
      <c r="D11">
        <v>0.42497845865912942</v>
      </c>
      <c r="E11">
        <v>0.39317648009578943</v>
      </c>
      <c r="F11">
        <v>0.53994607551924023</v>
      </c>
      <c r="G11">
        <v>-0.50711859309419127</v>
      </c>
      <c r="H11">
        <v>0.5687260501089515</v>
      </c>
      <c r="I11">
        <v>0.29181275938777335</v>
      </c>
      <c r="J11">
        <v>0.494525507183873</v>
      </c>
      <c r="K11">
        <v>1</v>
      </c>
    </row>
    <row r="12" spans="1:23" x14ac:dyDescent="0.25">
      <c r="A12" t="s">
        <v>19</v>
      </c>
      <c r="B12">
        <v>0.10591370472321902</v>
      </c>
      <c r="C12">
        <v>-2.7832629242445471E-2</v>
      </c>
      <c r="D12">
        <v>-0.50289814455151804</v>
      </c>
      <c r="E12">
        <v>9.4141327278751533E-2</v>
      </c>
      <c r="F12">
        <v>-0.20446950736728875</v>
      </c>
      <c r="G12">
        <v>0.42888626172847955</v>
      </c>
      <c r="H12">
        <v>-0.10544344362548606</v>
      </c>
      <c r="I12">
        <v>-0.40458723539525188</v>
      </c>
      <c r="J12">
        <v>-9.061540422347264E-2</v>
      </c>
      <c r="K12">
        <v>-0.51752323109803977</v>
      </c>
      <c r="L12">
        <v>1</v>
      </c>
    </row>
    <row r="13" spans="1:23" x14ac:dyDescent="0.25">
      <c r="A13" t="s">
        <v>20</v>
      </c>
      <c r="B13">
        <v>0.33575132535853935</v>
      </c>
      <c r="C13">
        <v>-0.21339278638160544</v>
      </c>
      <c r="D13">
        <v>-0.5204073305441671</v>
      </c>
      <c r="E13">
        <v>-0.16892728683192004</v>
      </c>
      <c r="F13">
        <v>-0.3957378971264684</v>
      </c>
      <c r="G13">
        <v>0.46795889818328751</v>
      </c>
      <c r="H13">
        <v>-0.29065455955690067</v>
      </c>
      <c r="I13">
        <v>-0.41089511448489663</v>
      </c>
      <c r="J13">
        <v>-0.31689413867173472</v>
      </c>
      <c r="K13">
        <v>-0.77418311840318665</v>
      </c>
      <c r="L13">
        <v>0.70316388302546573</v>
      </c>
      <c r="M13">
        <v>1</v>
      </c>
    </row>
    <row r="14" spans="1:23" x14ac:dyDescent="0.25">
      <c r="A14" t="s">
        <v>21</v>
      </c>
      <c r="B14">
        <v>-0.13331814555609131</v>
      </c>
      <c r="C14">
        <v>0.19655580543820764</v>
      </c>
      <c r="D14">
        <v>-0.14342974032488209</v>
      </c>
      <c r="E14">
        <v>-7.6083511994909883E-2</v>
      </c>
      <c r="F14">
        <v>-9.4912598903008783E-3</v>
      </c>
      <c r="G14">
        <v>5.7103544537934585E-2</v>
      </c>
      <c r="H14">
        <v>0.20271051049968467</v>
      </c>
      <c r="I14">
        <v>-0.13781726691321711</v>
      </c>
      <c r="J14">
        <v>0.1508994528712071</v>
      </c>
      <c r="K14">
        <v>-0.34954947157259086</v>
      </c>
      <c r="L14">
        <v>0.77657342971486132</v>
      </c>
      <c r="M14">
        <v>0.73598062727061264</v>
      </c>
      <c r="N14">
        <v>1</v>
      </c>
    </row>
    <row r="15" spans="1:23" x14ac:dyDescent="0.25">
      <c r="A15" t="s">
        <v>22</v>
      </c>
      <c r="B15">
        <v>-0.22364070412810824</v>
      </c>
      <c r="C15">
        <v>9.6738727335962033E-2</v>
      </c>
      <c r="D15">
        <v>0.74811389365684855</v>
      </c>
      <c r="E15">
        <v>-0.28053287122467041</v>
      </c>
      <c r="F15">
        <v>0.36611430120973781</v>
      </c>
      <c r="G15">
        <v>-0.73630762298115171</v>
      </c>
      <c r="H15">
        <v>0.33903403357023154</v>
      </c>
      <c r="I15">
        <v>0.5255687269675493</v>
      </c>
      <c r="J15">
        <v>0.2426153726314805</v>
      </c>
      <c r="K15">
        <v>0.60919849701436635</v>
      </c>
      <c r="L15">
        <v>-0.76410046723809844</v>
      </c>
      <c r="M15">
        <v>-0.66512207280521429</v>
      </c>
      <c r="N15">
        <v>-0.39253637343717301</v>
      </c>
      <c r="O15">
        <v>1</v>
      </c>
    </row>
    <row r="16" spans="1:23" x14ac:dyDescent="0.25">
      <c r="A16" t="s">
        <v>23</v>
      </c>
      <c r="B16">
        <v>0.40073338003029585</v>
      </c>
      <c r="C16">
        <v>-0.31968600908181205</v>
      </c>
      <c r="D16">
        <v>-0.56245579812050606</v>
      </c>
      <c r="E16">
        <v>-0.19269255186707132</v>
      </c>
      <c r="F16">
        <v>-0.4331887275211701</v>
      </c>
      <c r="G16">
        <v>0.51687653489789798</v>
      </c>
      <c r="H16">
        <v>-0.32973592530988699</v>
      </c>
      <c r="I16">
        <v>-0.52841337992167947</v>
      </c>
      <c r="J16">
        <v>-0.35305742433902909</v>
      </c>
      <c r="K16">
        <v>-0.74827774380200185</v>
      </c>
      <c r="L16">
        <v>0.82878674513137762</v>
      </c>
      <c r="M16">
        <v>0.79855891935737844</v>
      </c>
      <c r="N16">
        <v>0.65423009269479515</v>
      </c>
      <c r="O16">
        <v>-0.72372831881408328</v>
      </c>
      <c r="P16">
        <v>1</v>
      </c>
    </row>
    <row r="17" spans="1:23" x14ac:dyDescent="0.25">
      <c r="A17" t="s">
        <v>24</v>
      </c>
      <c r="B17">
        <v>0.21791265701711926</v>
      </c>
      <c r="C17">
        <v>-0.11758593866974279</v>
      </c>
      <c r="D17">
        <v>-0.4503272507647984</v>
      </c>
      <c r="E17">
        <v>-0.19461629283226875</v>
      </c>
      <c r="F17">
        <v>-0.3185125221972262</v>
      </c>
      <c r="G17">
        <v>0.37069613696814502</v>
      </c>
      <c r="H17">
        <v>-0.1695110202559133</v>
      </c>
      <c r="I17">
        <v>-0.44896763423638802</v>
      </c>
      <c r="J17">
        <v>-0.21669414692348918</v>
      </c>
      <c r="K17">
        <v>-0.74316961121270519</v>
      </c>
      <c r="L17">
        <v>0.75607851152297445</v>
      </c>
      <c r="M17">
        <v>0.79815720905882481</v>
      </c>
      <c r="N17">
        <v>0.6561611907866387</v>
      </c>
      <c r="O17">
        <v>-0.6266653608061552</v>
      </c>
      <c r="P17">
        <v>0.83924150621134197</v>
      </c>
      <c r="Q17">
        <v>1</v>
      </c>
    </row>
    <row r="18" spans="1:23" x14ac:dyDescent="0.25">
      <c r="A18" t="s">
        <v>25</v>
      </c>
      <c r="B18">
        <v>0.59867971760047423</v>
      </c>
      <c r="C18">
        <v>-0.48389506699303125</v>
      </c>
      <c r="D18">
        <v>-0.60179682820135671</v>
      </c>
      <c r="E18">
        <v>-0.30681968692748346</v>
      </c>
      <c r="F18">
        <v>-0.56305913813248043</v>
      </c>
      <c r="G18">
        <v>0.57779871413145778</v>
      </c>
      <c r="H18">
        <v>-0.5327210706593597</v>
      </c>
      <c r="I18">
        <v>-0.51868437814269097</v>
      </c>
      <c r="J18">
        <v>-0.55650628759701559</v>
      </c>
      <c r="K18">
        <v>-0.89469703358705965</v>
      </c>
      <c r="L18">
        <v>0.673187725778855</v>
      </c>
      <c r="M18">
        <v>0.90668185613862251</v>
      </c>
      <c r="N18">
        <v>0.50981556876220946</v>
      </c>
      <c r="O18">
        <v>-0.66107577596231026</v>
      </c>
      <c r="P18">
        <v>0.83134153741158179</v>
      </c>
      <c r="Q18">
        <v>0.82548521792571472</v>
      </c>
      <c r="R18">
        <v>1</v>
      </c>
    </row>
    <row r="19" spans="1:23" x14ac:dyDescent="0.25">
      <c r="A19" t="s">
        <v>26</v>
      </c>
      <c r="B19">
        <v>0.36073701553103849</v>
      </c>
      <c r="C19">
        <v>-0.34646535397694617</v>
      </c>
      <c r="D19">
        <v>-0.23106490593752552</v>
      </c>
      <c r="E19">
        <v>-0.1979612709141931</v>
      </c>
      <c r="F19">
        <v>-0.20661926755221996</v>
      </c>
      <c r="G19">
        <v>0.18579664923661374</v>
      </c>
      <c r="H19">
        <v>-0.22390190761204048</v>
      </c>
      <c r="I19">
        <v>-0.23099780998325709</v>
      </c>
      <c r="J19">
        <v>-0.28378014011107144</v>
      </c>
      <c r="K19">
        <v>-0.63835445546447145</v>
      </c>
      <c r="L19">
        <v>0.42979437033817525</v>
      </c>
      <c r="M19">
        <v>0.79434026646933587</v>
      </c>
      <c r="N19">
        <v>0.53463268302038058</v>
      </c>
      <c r="O19">
        <v>-0.31738395876760267</v>
      </c>
      <c r="P19">
        <v>0.62163830226594219</v>
      </c>
      <c r="Q19">
        <v>0.70373684941502801</v>
      </c>
      <c r="R19">
        <v>0.75858368045975444</v>
      </c>
      <c r="S19">
        <v>1</v>
      </c>
    </row>
    <row r="20" spans="1:23" x14ac:dyDescent="0.25">
      <c r="A20" t="s">
        <v>27</v>
      </c>
      <c r="B20">
        <v>-3.4745750248665774E-2</v>
      </c>
      <c r="C20">
        <v>7.9175330036572789E-2</v>
      </c>
      <c r="D20">
        <v>0.18386588725770481</v>
      </c>
      <c r="E20">
        <v>-0.18724701382372852</v>
      </c>
      <c r="F20">
        <v>0.26122810251327461</v>
      </c>
      <c r="G20">
        <v>-0.38335714972584389</v>
      </c>
      <c r="H20">
        <v>0.16814766187996391</v>
      </c>
      <c r="I20">
        <v>0.2078208713430659</v>
      </c>
      <c r="J20">
        <v>8.123545229071065E-2</v>
      </c>
      <c r="K20">
        <v>-0.37716136753676677</v>
      </c>
      <c r="L20">
        <v>0.27299863420992315</v>
      </c>
      <c r="M20">
        <v>0.49630265814790558</v>
      </c>
      <c r="N20">
        <v>0.59449968154057298</v>
      </c>
      <c r="O20">
        <v>5.3542397369542125E-2</v>
      </c>
      <c r="P20">
        <v>0.24522682957444283</v>
      </c>
      <c r="Q20">
        <v>0.42613358283851271</v>
      </c>
      <c r="R20">
        <v>0.36761707007401967</v>
      </c>
      <c r="S20">
        <v>0.63140926850009849</v>
      </c>
      <c r="T20">
        <v>1</v>
      </c>
    </row>
    <row r="21" spans="1:23" x14ac:dyDescent="0.25">
      <c r="A21" t="s">
        <v>28</v>
      </c>
      <c r="B21">
        <v>0.41754868790477512</v>
      </c>
      <c r="C21">
        <v>-0.40880013430022871</v>
      </c>
      <c r="D21">
        <v>-0.13345532595914358</v>
      </c>
      <c r="E21">
        <v>-0.28849379840165446</v>
      </c>
      <c r="F21">
        <v>-0.23573756593972145</v>
      </c>
      <c r="G21">
        <v>0.16051140111146894</v>
      </c>
      <c r="H21">
        <v>-0.35004492621367844</v>
      </c>
      <c r="I21">
        <v>-0.10391398910222364</v>
      </c>
      <c r="J21">
        <v>-0.31821076444454988</v>
      </c>
      <c r="K21">
        <v>-0.57598765392298401</v>
      </c>
      <c r="L21">
        <v>0.46909288318577252</v>
      </c>
      <c r="M21">
        <v>0.71479032522499308</v>
      </c>
      <c r="N21">
        <v>0.58460364422696165</v>
      </c>
      <c r="O21">
        <v>-0.26024633309679251</v>
      </c>
      <c r="P21">
        <v>0.48969786159828887</v>
      </c>
      <c r="Q21">
        <v>0.57311962410863615</v>
      </c>
      <c r="R21">
        <v>0.67182730037469529</v>
      </c>
      <c r="S21">
        <v>0.751339735684595</v>
      </c>
      <c r="T21">
        <v>0.73198749332706647</v>
      </c>
      <c r="U21">
        <v>1</v>
      </c>
    </row>
    <row r="22" spans="1:23" x14ac:dyDescent="0.25">
      <c r="A22" t="s">
        <v>29</v>
      </c>
      <c r="B22">
        <v>0.68525655585598333</v>
      </c>
      <c r="C22">
        <v>-0.58563760101513906</v>
      </c>
      <c r="D22">
        <v>-0.46136607497709659</v>
      </c>
      <c r="E22">
        <v>-0.55870273385929758</v>
      </c>
      <c r="F22">
        <v>-0.82592992347513172</v>
      </c>
      <c r="G22">
        <v>0.69619273414287597</v>
      </c>
      <c r="H22">
        <v>-0.7254407980812001</v>
      </c>
      <c r="I22">
        <v>-0.38875054265940251</v>
      </c>
      <c r="J22">
        <v>-0.67056231426125967</v>
      </c>
      <c r="K22">
        <v>-0.86977453144056638</v>
      </c>
      <c r="L22">
        <v>0.35694207710112991</v>
      </c>
      <c r="M22">
        <v>0.67039461475410889</v>
      </c>
      <c r="N22">
        <v>0.16834566580397897</v>
      </c>
      <c r="O22">
        <v>-0.48465243849358092</v>
      </c>
      <c r="P22">
        <v>0.63137782082277039</v>
      </c>
      <c r="Q22">
        <v>0.61945899467458987</v>
      </c>
      <c r="R22">
        <v>0.8421960397996483</v>
      </c>
      <c r="S22">
        <v>0.54885640258141444</v>
      </c>
      <c r="T22">
        <v>9.1004809345670429E-2</v>
      </c>
      <c r="U22">
        <v>0.46330630424734837</v>
      </c>
      <c r="V22">
        <v>1</v>
      </c>
    </row>
    <row r="23" spans="1:23" ht="15.75" thickBot="1" x14ac:dyDescent="0.3">
      <c r="A23" s="10" t="s">
        <v>30</v>
      </c>
      <c r="B23" s="10">
        <v>0.53522235728378276</v>
      </c>
      <c r="C23" s="10">
        <v>-0.54772886997494485</v>
      </c>
      <c r="D23" s="10">
        <v>-8.106408303454575E-2</v>
      </c>
      <c r="E23" s="10">
        <v>-0.58774631645502373</v>
      </c>
      <c r="F23" s="10">
        <v>-0.46174751006123416</v>
      </c>
      <c r="G23" s="10">
        <v>0.17373369974141117</v>
      </c>
      <c r="H23" s="10">
        <v>-0.47884056739691094</v>
      </c>
      <c r="I23" s="10">
        <v>-0.14791788927264324</v>
      </c>
      <c r="J23" s="10">
        <v>-0.49585406942206794</v>
      </c>
      <c r="K23" s="10">
        <v>-0.4598375457714422</v>
      </c>
      <c r="L23" s="10">
        <v>-0.11366723131984748</v>
      </c>
      <c r="M23" s="10">
        <v>0.14880480445158706</v>
      </c>
      <c r="N23" s="10">
        <v>-0.23727977296758851</v>
      </c>
      <c r="O23" s="10">
        <v>0.12305865016395076</v>
      </c>
      <c r="P23" s="10">
        <v>0.15775618767507882</v>
      </c>
      <c r="Q23" s="10">
        <v>0.120527249030063</v>
      </c>
      <c r="R23" s="10">
        <v>0.41431192938118783</v>
      </c>
      <c r="S23" s="10">
        <v>0.18729320855137463</v>
      </c>
      <c r="T23" s="10">
        <v>-5.8200923077753999E-2</v>
      </c>
      <c r="U23" s="10">
        <v>4.2521347974869506E-2</v>
      </c>
      <c r="V23" s="10">
        <v>0.61586188008896248</v>
      </c>
      <c r="W23" s="10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1000"/>
  <sheetViews>
    <sheetView tabSelected="1" topLeftCell="B15" zoomScale="80" zoomScaleNormal="80" workbookViewId="0">
      <selection activeCell="H23" sqref="H23"/>
    </sheetView>
  </sheetViews>
  <sheetFormatPr defaultColWidth="12.5703125" defaultRowHeight="15" customHeight="1" x14ac:dyDescent="0.25"/>
  <cols>
    <col min="1" max="3" width="8.5703125" customWidth="1"/>
    <col min="4" max="7" width="12.140625" customWidth="1"/>
    <col min="8" max="10" width="8.5703125" customWidth="1"/>
    <col min="11" max="11" width="8.85546875" customWidth="1"/>
    <col min="12" max="12" width="8.5703125" customWidth="1"/>
    <col min="13" max="13" width="8.85546875" customWidth="1"/>
    <col min="14" max="30" width="8.5703125" customWidth="1"/>
  </cols>
  <sheetData>
    <row r="1" spans="1:30" ht="26.25" x14ac:dyDescent="0.25">
      <c r="A1" s="5" t="s">
        <v>37</v>
      </c>
      <c r="B1" s="5" t="s">
        <v>18</v>
      </c>
      <c r="C1" s="5" t="s">
        <v>16</v>
      </c>
      <c r="D1" s="5" t="s">
        <v>17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32</v>
      </c>
      <c r="K1" s="1" t="s">
        <v>35</v>
      </c>
      <c r="L1" s="1" t="s">
        <v>36</v>
      </c>
      <c r="M1" s="1" t="s">
        <v>33</v>
      </c>
      <c r="N1" s="1" t="s">
        <v>0</v>
      </c>
      <c r="O1" s="1" t="s">
        <v>19</v>
      </c>
      <c r="P1" s="1" t="s">
        <v>20</v>
      </c>
      <c r="Q1" s="1" t="s">
        <v>21</v>
      </c>
      <c r="R1" s="1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t="s">
        <v>83</v>
      </c>
      <c r="AB1" t="s">
        <v>84</v>
      </c>
      <c r="AC1" s="16" t="s">
        <v>86</v>
      </c>
      <c r="AD1" t="s">
        <v>85</v>
      </c>
    </row>
    <row r="2" spans="1:30" x14ac:dyDescent="0.25">
      <c r="A2" s="5">
        <v>1</v>
      </c>
      <c r="B2" s="5">
        <v>28</v>
      </c>
      <c r="C2" s="6">
        <v>33.715567999999998</v>
      </c>
      <c r="D2" s="6">
        <v>-82.250963999999996</v>
      </c>
      <c r="E2" s="7">
        <v>42.9</v>
      </c>
      <c r="F2" s="7">
        <v>57</v>
      </c>
      <c r="G2" s="7">
        <v>0.2</v>
      </c>
      <c r="H2" s="3">
        <v>17.920000000000002</v>
      </c>
      <c r="I2" s="3">
        <v>4.07</v>
      </c>
      <c r="J2" s="3">
        <f t="shared" ref="J2:J20" si="0">((H2-I2)/H2)*100</f>
        <v>77.287946428571431</v>
      </c>
      <c r="K2" s="3">
        <v>0.92500000000000004</v>
      </c>
      <c r="L2" s="3">
        <v>22.21</v>
      </c>
      <c r="M2" s="3">
        <v>5.0090000000000003</v>
      </c>
      <c r="N2" s="3">
        <v>150.33000000000001</v>
      </c>
      <c r="O2" s="3">
        <v>5888.01</v>
      </c>
      <c r="P2" s="3">
        <v>89.91</v>
      </c>
      <c r="Q2" s="3">
        <v>8718.89</v>
      </c>
      <c r="R2" s="3">
        <v>1605.21</v>
      </c>
      <c r="S2" s="3">
        <v>228.54</v>
      </c>
      <c r="T2" s="3">
        <v>39.909999999999997</v>
      </c>
      <c r="U2" s="3">
        <v>87.1</v>
      </c>
      <c r="V2" s="3">
        <v>21.77</v>
      </c>
      <c r="W2" s="3">
        <v>44.79</v>
      </c>
      <c r="X2" s="3">
        <v>13.02</v>
      </c>
      <c r="Y2" s="3">
        <v>85781.23</v>
      </c>
      <c r="Z2" s="3">
        <v>2323.3200000000002</v>
      </c>
      <c r="AA2">
        <v>2.7712895845142098</v>
      </c>
      <c r="AB2" t="s">
        <v>31</v>
      </c>
      <c r="AC2">
        <v>94.1</v>
      </c>
    </row>
    <row r="3" spans="1:30" x14ac:dyDescent="0.25">
      <c r="A3" s="5">
        <v>2</v>
      </c>
      <c r="B3" s="5">
        <v>30</v>
      </c>
      <c r="C3" s="6">
        <v>33.693165</v>
      </c>
      <c r="D3" s="6">
        <v>-82.243758999999997</v>
      </c>
      <c r="E3" s="7">
        <v>34.5</v>
      </c>
      <c r="F3" s="7">
        <v>59.6</v>
      </c>
      <c r="G3" s="7">
        <v>6</v>
      </c>
      <c r="H3" s="3">
        <v>14.82</v>
      </c>
      <c r="I3" s="3">
        <v>9.42</v>
      </c>
      <c r="J3" s="3">
        <f t="shared" si="0"/>
        <v>36.43724696356275</v>
      </c>
      <c r="K3" s="3">
        <v>1.4059999999999999</v>
      </c>
      <c r="L3" s="3">
        <v>46.86</v>
      </c>
      <c r="M3" s="3">
        <v>7.1980000000000004</v>
      </c>
      <c r="N3" s="3">
        <v>251.47</v>
      </c>
      <c r="O3" s="3">
        <v>2531.62</v>
      </c>
      <c r="P3" s="3">
        <v>33.58</v>
      </c>
      <c r="Q3" s="3">
        <v>4779.6099999999997</v>
      </c>
      <c r="R3" s="3">
        <v>9466.01</v>
      </c>
      <c r="S3" s="3">
        <v>71.069999999999993</v>
      </c>
      <c r="T3" s="3">
        <v>15.82</v>
      </c>
      <c r="U3" s="3">
        <v>23.06</v>
      </c>
      <c r="V3" s="3">
        <v>16.87</v>
      </c>
      <c r="W3" s="3">
        <v>41.47</v>
      </c>
      <c r="X3" s="3">
        <v>7.6</v>
      </c>
      <c r="Y3" s="3">
        <v>30993.01</v>
      </c>
      <c r="Z3" s="3">
        <v>2729.77</v>
      </c>
      <c r="AA3">
        <v>1.56219866793942</v>
      </c>
      <c r="AC3" s="16">
        <v>93.3</v>
      </c>
    </row>
    <row r="4" spans="1:30" x14ac:dyDescent="0.25">
      <c r="A4" s="5">
        <v>3</v>
      </c>
      <c r="B4" s="5">
        <v>32</v>
      </c>
      <c r="C4" s="6">
        <v>33.674843000000003</v>
      </c>
      <c r="D4" s="6">
        <v>-82.234174999999993</v>
      </c>
      <c r="E4" s="7">
        <v>50.2</v>
      </c>
      <c r="F4" s="7">
        <v>49.7</v>
      </c>
      <c r="G4" s="7">
        <v>0.3</v>
      </c>
      <c r="H4" s="3">
        <v>15.22</v>
      </c>
      <c r="I4" s="3">
        <v>3.2</v>
      </c>
      <c r="J4" s="3">
        <f t="shared" si="0"/>
        <v>78.975032851511159</v>
      </c>
      <c r="K4" s="3">
        <v>0.746</v>
      </c>
      <c r="L4" s="3">
        <v>20.55</v>
      </c>
      <c r="M4" s="3">
        <v>3.8780000000000001</v>
      </c>
      <c r="N4" s="3">
        <v>127.79</v>
      </c>
      <c r="O4" s="3">
        <v>5403.6</v>
      </c>
      <c r="P4" s="3">
        <v>80.36</v>
      </c>
      <c r="Q4" s="3">
        <v>6349.27</v>
      </c>
      <c r="R4" s="3">
        <v>1299.29</v>
      </c>
      <c r="S4" s="3">
        <v>244.02</v>
      </c>
      <c r="T4" s="3">
        <v>48.88</v>
      </c>
      <c r="U4" s="3">
        <v>95.11</v>
      </c>
      <c r="V4" s="3">
        <v>26.97</v>
      </c>
      <c r="W4" s="3">
        <v>38.07</v>
      </c>
      <c r="X4" s="3">
        <v>10.81</v>
      </c>
      <c r="Y4" s="3">
        <v>99537.98</v>
      </c>
      <c r="Z4" s="3">
        <v>2596.71</v>
      </c>
      <c r="AA4">
        <v>3.1120530530564698</v>
      </c>
      <c r="AB4">
        <v>7.49</v>
      </c>
      <c r="AC4">
        <v>96.3</v>
      </c>
      <c r="AD4">
        <v>56.3</v>
      </c>
    </row>
    <row r="5" spans="1:30" x14ac:dyDescent="0.25">
      <c r="A5" s="5">
        <v>4</v>
      </c>
      <c r="B5" s="5">
        <v>30</v>
      </c>
      <c r="C5" s="6">
        <v>33.675674000000001</v>
      </c>
      <c r="D5" s="6">
        <v>-82.220153999999994</v>
      </c>
      <c r="E5" s="7">
        <v>42.8</v>
      </c>
      <c r="F5" s="7">
        <v>55.6</v>
      </c>
      <c r="G5" s="7">
        <v>1.6</v>
      </c>
      <c r="H5" s="3">
        <v>18.88</v>
      </c>
      <c r="I5" s="3">
        <v>4.17</v>
      </c>
      <c r="J5" s="3">
        <f t="shared" si="0"/>
        <v>77.913135593220346</v>
      </c>
      <c r="K5" s="3">
        <v>0.81899999999999995</v>
      </c>
      <c r="L5" s="3">
        <v>30.37</v>
      </c>
      <c r="M5" s="3">
        <v>5.1449999999999996</v>
      </c>
      <c r="N5" s="3">
        <v>149.88</v>
      </c>
      <c r="O5" s="3">
        <v>6708.39</v>
      </c>
      <c r="P5" s="3">
        <v>79.39</v>
      </c>
      <c r="Q5" s="3">
        <v>7919.58</v>
      </c>
      <c r="R5" s="3">
        <v>1593.11</v>
      </c>
      <c r="S5" s="3">
        <v>237.2</v>
      </c>
      <c r="T5" s="3">
        <v>43.78</v>
      </c>
      <c r="U5" s="3">
        <v>92.27</v>
      </c>
      <c r="V5" s="3">
        <v>23.32</v>
      </c>
      <c r="W5" s="3">
        <v>41.7</v>
      </c>
      <c r="X5" s="3">
        <v>12.27</v>
      </c>
      <c r="Y5" s="3">
        <v>98957.07</v>
      </c>
      <c r="Z5" s="3">
        <v>2897.44</v>
      </c>
      <c r="AA5">
        <v>3.02038426758324</v>
      </c>
      <c r="AB5">
        <v>7.82</v>
      </c>
      <c r="AC5">
        <v>94.4</v>
      </c>
      <c r="AD5">
        <v>56.1</v>
      </c>
    </row>
    <row r="6" spans="1:30" x14ac:dyDescent="0.25">
      <c r="A6" s="5">
        <v>5</v>
      </c>
      <c r="B6" s="5">
        <v>21</v>
      </c>
      <c r="C6" s="6">
        <v>33.663384000000001</v>
      </c>
      <c r="D6" s="6">
        <v>-82.216123999999994</v>
      </c>
      <c r="E6" s="7">
        <v>60.3</v>
      </c>
      <c r="F6" s="7">
        <v>39.799999999999997</v>
      </c>
      <c r="G6" s="7">
        <v>0</v>
      </c>
      <c r="H6" s="3">
        <v>18.72</v>
      </c>
      <c r="I6" s="3">
        <v>4.4400000000000004</v>
      </c>
      <c r="J6" s="3">
        <f t="shared" si="0"/>
        <v>76.28205128205127</v>
      </c>
      <c r="K6" s="3">
        <v>0.61</v>
      </c>
      <c r="L6" s="3">
        <v>15.33</v>
      </c>
      <c r="M6" s="3">
        <v>2.7970000000000002</v>
      </c>
      <c r="N6" s="3">
        <v>175.05</v>
      </c>
      <c r="O6" s="3">
        <v>6661.52</v>
      </c>
      <c r="P6" s="3">
        <v>88.59</v>
      </c>
      <c r="Q6" s="3">
        <v>9362.67</v>
      </c>
      <c r="R6" s="3">
        <v>1813.59</v>
      </c>
      <c r="S6" s="3">
        <v>265.07</v>
      </c>
      <c r="T6" s="3">
        <v>39.74</v>
      </c>
      <c r="U6" s="3">
        <v>96.99</v>
      </c>
      <c r="V6" s="3">
        <v>25.36</v>
      </c>
      <c r="W6" s="3">
        <v>46.34</v>
      </c>
      <c r="X6" s="3">
        <v>17.53</v>
      </c>
      <c r="Y6" s="3">
        <v>68429.48</v>
      </c>
      <c r="Z6" s="3">
        <v>1019.58</v>
      </c>
      <c r="AA6">
        <v>2.3803167880774598</v>
      </c>
      <c r="AB6">
        <v>7.89</v>
      </c>
      <c r="AC6">
        <v>96.8</v>
      </c>
      <c r="AD6">
        <v>56.1</v>
      </c>
    </row>
    <row r="7" spans="1:30" x14ac:dyDescent="0.25">
      <c r="A7" s="5">
        <v>6</v>
      </c>
      <c r="B7" s="5">
        <v>36</v>
      </c>
      <c r="C7" s="6">
        <v>33.669018999999999</v>
      </c>
      <c r="D7" s="6">
        <v>-82.196770999999998</v>
      </c>
      <c r="E7" s="7">
        <v>50</v>
      </c>
      <c r="F7" s="7">
        <v>49.6</v>
      </c>
      <c r="G7" s="7">
        <v>0.3</v>
      </c>
      <c r="H7" s="3">
        <v>16.63</v>
      </c>
      <c r="I7" s="3">
        <v>4.1900000000000004</v>
      </c>
      <c r="J7" s="3">
        <f t="shared" si="0"/>
        <v>74.804570054119054</v>
      </c>
      <c r="K7" s="3">
        <v>0.68200000000000005</v>
      </c>
      <c r="L7" s="3">
        <v>20.77</v>
      </c>
      <c r="M7" s="3">
        <v>3.9009999999999998</v>
      </c>
      <c r="N7" s="3">
        <v>126.79</v>
      </c>
      <c r="O7" s="3">
        <v>6130.61</v>
      </c>
      <c r="P7" s="3">
        <v>86.14</v>
      </c>
      <c r="Q7" s="3">
        <v>7347.87</v>
      </c>
      <c r="R7" s="3">
        <v>1545.1</v>
      </c>
      <c r="S7" s="3">
        <v>230.75</v>
      </c>
      <c r="T7" s="3">
        <v>44.19</v>
      </c>
      <c r="U7" s="3">
        <v>104.08</v>
      </c>
      <c r="V7" s="3">
        <v>20.95</v>
      </c>
      <c r="W7" s="3">
        <v>39.17</v>
      </c>
      <c r="X7" s="3">
        <v>13.33</v>
      </c>
      <c r="Y7" s="3">
        <v>98759.42</v>
      </c>
      <c r="Z7" s="3">
        <v>4643.46</v>
      </c>
      <c r="AA7">
        <v>2.5027218477615198</v>
      </c>
      <c r="AB7">
        <v>7.97</v>
      </c>
      <c r="AC7">
        <v>96.1</v>
      </c>
      <c r="AD7">
        <v>56</v>
      </c>
    </row>
    <row r="8" spans="1:30" x14ac:dyDescent="0.25">
      <c r="A8" s="5">
        <v>7</v>
      </c>
      <c r="B8" s="5">
        <v>34</v>
      </c>
      <c r="C8" s="6">
        <v>33.680047999999999</v>
      </c>
      <c r="D8" s="6">
        <v>-82.208855999999997</v>
      </c>
      <c r="E8" s="7">
        <v>54.5</v>
      </c>
      <c r="F8" s="7">
        <v>45.4</v>
      </c>
      <c r="G8" s="7">
        <v>0</v>
      </c>
      <c r="H8" s="3">
        <v>20.85</v>
      </c>
      <c r="I8" s="3">
        <v>5.48</v>
      </c>
      <c r="J8" s="3">
        <f t="shared" si="0"/>
        <v>73.717026378896875</v>
      </c>
      <c r="K8" s="3">
        <v>0.69699999999999995</v>
      </c>
      <c r="L8" s="3">
        <v>15.69</v>
      </c>
      <c r="M8" s="3">
        <v>3.3919999999999999</v>
      </c>
      <c r="N8" s="3">
        <v>127.56</v>
      </c>
      <c r="O8" s="3">
        <v>6598.13</v>
      </c>
      <c r="P8" s="3">
        <v>83.9</v>
      </c>
      <c r="Q8" s="3">
        <v>7766.95</v>
      </c>
      <c r="R8" s="3">
        <v>1581.4</v>
      </c>
      <c r="S8" s="3">
        <v>278.58999999999997</v>
      </c>
      <c r="T8" s="3">
        <v>52.26</v>
      </c>
      <c r="U8" s="3">
        <v>106.84</v>
      </c>
      <c r="V8" s="3">
        <v>25.74</v>
      </c>
      <c r="W8" s="3">
        <v>39.53</v>
      </c>
      <c r="X8" s="3">
        <v>11.42</v>
      </c>
      <c r="Y8" s="3">
        <v>90703.67</v>
      </c>
      <c r="Z8" s="3">
        <v>3882.9</v>
      </c>
      <c r="AA8">
        <v>2.5533982664475499</v>
      </c>
      <c r="AB8">
        <v>8.18</v>
      </c>
      <c r="AC8">
        <v>96.8</v>
      </c>
      <c r="AD8">
        <v>56.2</v>
      </c>
    </row>
    <row r="9" spans="1:30" x14ac:dyDescent="0.25">
      <c r="A9" s="5">
        <v>8</v>
      </c>
      <c r="B9" s="5">
        <v>17</v>
      </c>
      <c r="C9" s="6">
        <v>33.694347999999998</v>
      </c>
      <c r="D9" s="6">
        <v>-82.216474000000005</v>
      </c>
      <c r="E9" s="7">
        <v>35.9</v>
      </c>
      <c r="F9" s="7">
        <v>60.7</v>
      </c>
      <c r="G9" s="7">
        <v>3.4</v>
      </c>
      <c r="H9" s="3">
        <v>15.36</v>
      </c>
      <c r="I9" s="3">
        <v>3.69</v>
      </c>
      <c r="J9" s="3">
        <f t="shared" si="0"/>
        <v>75.9765625</v>
      </c>
      <c r="K9" s="3">
        <v>0.95899999999999996</v>
      </c>
      <c r="L9" s="3">
        <v>40.869999999999997</v>
      </c>
      <c r="M9" s="3">
        <v>7.4279999999999999</v>
      </c>
      <c r="N9" s="3">
        <v>143.12</v>
      </c>
      <c r="O9" s="3">
        <v>6323.39</v>
      </c>
      <c r="P9" s="3">
        <v>86.53</v>
      </c>
      <c r="Q9" s="3">
        <v>10251.07</v>
      </c>
      <c r="R9" s="3">
        <v>1623</v>
      </c>
      <c r="S9" s="3">
        <v>254.45</v>
      </c>
      <c r="T9" s="3">
        <v>47.64</v>
      </c>
      <c r="U9" s="3">
        <v>80.959999999999994</v>
      </c>
      <c r="V9" s="3">
        <v>21.09</v>
      </c>
      <c r="W9" s="3">
        <v>40.36</v>
      </c>
      <c r="X9" s="3">
        <v>12.01</v>
      </c>
      <c r="Y9" s="3">
        <v>85950.38</v>
      </c>
      <c r="Z9" s="3">
        <v>1345.77</v>
      </c>
      <c r="AA9">
        <v>2.6717858248852302</v>
      </c>
      <c r="AB9">
        <v>8.36</v>
      </c>
      <c r="AC9">
        <v>98.2</v>
      </c>
      <c r="AD9">
        <v>56.2</v>
      </c>
    </row>
    <row r="10" spans="1:30" x14ac:dyDescent="0.25">
      <c r="A10" s="5">
        <v>9</v>
      </c>
      <c r="B10" s="5">
        <v>37</v>
      </c>
      <c r="C10" s="6">
        <v>33.687511999999998</v>
      </c>
      <c r="D10" s="6">
        <v>-82.225752</v>
      </c>
      <c r="E10" s="7">
        <v>53.6</v>
      </c>
      <c r="F10" s="7">
        <v>46.5</v>
      </c>
      <c r="G10" s="7">
        <v>0</v>
      </c>
      <c r="H10" s="3">
        <v>14.95</v>
      </c>
      <c r="I10" s="3">
        <v>3.74</v>
      </c>
      <c r="J10" s="3">
        <f t="shared" si="0"/>
        <v>74.983277591973234</v>
      </c>
      <c r="K10" s="3">
        <v>0.71799999999999997</v>
      </c>
      <c r="L10" s="3">
        <v>14.64</v>
      </c>
      <c r="M10" s="3">
        <v>3.5070000000000001</v>
      </c>
      <c r="N10" s="3">
        <v>115.3</v>
      </c>
      <c r="O10" s="3">
        <v>5625.08</v>
      </c>
      <c r="P10" s="3">
        <v>80.31</v>
      </c>
      <c r="Q10" s="3">
        <v>6545.79</v>
      </c>
      <c r="R10" s="3">
        <v>1253.6600000000001</v>
      </c>
      <c r="S10" s="3">
        <v>305.61</v>
      </c>
      <c r="T10" s="3">
        <v>50.32</v>
      </c>
      <c r="U10" s="3">
        <v>99.76</v>
      </c>
      <c r="V10" s="3">
        <v>21.77</v>
      </c>
      <c r="W10" s="3">
        <v>34.22</v>
      </c>
      <c r="X10" s="3">
        <v>9.7100000000000009</v>
      </c>
      <c r="Y10" s="3">
        <v>105704.55</v>
      </c>
      <c r="Z10" s="3">
        <v>3779.28</v>
      </c>
      <c r="AA10">
        <v>2.78725613208388</v>
      </c>
      <c r="AB10">
        <v>8.56</v>
      </c>
      <c r="AC10">
        <v>98.3</v>
      </c>
      <c r="AD10">
        <v>56.3</v>
      </c>
    </row>
    <row r="11" spans="1:30" x14ac:dyDescent="0.25">
      <c r="A11" s="5">
        <v>10</v>
      </c>
      <c r="B11" s="5">
        <v>26</v>
      </c>
      <c r="C11" s="6">
        <v>33.676608999999999</v>
      </c>
      <c r="D11" s="6">
        <v>-82.249560000000002</v>
      </c>
      <c r="E11" s="7">
        <v>46.8</v>
      </c>
      <c r="F11" s="7">
        <v>52.7</v>
      </c>
      <c r="G11" s="7">
        <v>0.6</v>
      </c>
      <c r="H11" s="3">
        <v>19.38</v>
      </c>
      <c r="I11" s="3">
        <v>4.68</v>
      </c>
      <c r="J11" s="3">
        <f t="shared" si="0"/>
        <v>75.851393188854487</v>
      </c>
      <c r="K11" s="3">
        <v>0.68300000000000005</v>
      </c>
      <c r="L11" s="3">
        <v>24.05</v>
      </c>
      <c r="M11" s="3">
        <v>4.42</v>
      </c>
      <c r="N11" s="3">
        <v>147.11000000000001</v>
      </c>
      <c r="O11" s="3">
        <v>5653.6</v>
      </c>
      <c r="P11" s="3">
        <v>80.02</v>
      </c>
      <c r="Q11" s="3">
        <v>6732.43</v>
      </c>
      <c r="R11" s="3">
        <v>1426.07</v>
      </c>
      <c r="S11" s="3">
        <v>202.93</v>
      </c>
      <c r="T11" s="3">
        <v>53.1</v>
      </c>
      <c r="U11" s="3">
        <v>91.6</v>
      </c>
      <c r="V11" s="3">
        <v>23</v>
      </c>
      <c r="W11" s="3">
        <v>43.87</v>
      </c>
      <c r="X11" s="3">
        <v>16.21</v>
      </c>
      <c r="Y11" s="3">
        <v>90688.960000000006</v>
      </c>
      <c r="Z11" s="3">
        <v>1403.96</v>
      </c>
      <c r="AA11">
        <v>2.76091915038656</v>
      </c>
      <c r="AB11">
        <v>8.49</v>
      </c>
      <c r="AC11">
        <v>97.5</v>
      </c>
      <c r="AD11">
        <v>56.3</v>
      </c>
    </row>
    <row r="12" spans="1:30" x14ac:dyDescent="0.25">
      <c r="A12" s="5">
        <v>12</v>
      </c>
      <c r="B12" s="3">
        <v>13</v>
      </c>
      <c r="C12" s="6">
        <v>33.660155000000003</v>
      </c>
      <c r="D12" s="6">
        <v>-82.272610999999998</v>
      </c>
      <c r="E12" s="7">
        <v>42.9</v>
      </c>
      <c r="F12" s="7">
        <v>55.5</v>
      </c>
      <c r="G12" s="7">
        <v>1.6</v>
      </c>
      <c r="H12" s="3">
        <v>22.59</v>
      </c>
      <c r="I12" s="3">
        <v>6.3</v>
      </c>
      <c r="J12" s="3">
        <f t="shared" si="0"/>
        <v>72.111553784860547</v>
      </c>
      <c r="K12" s="3">
        <v>0.75800000000000001</v>
      </c>
      <c r="L12" s="3">
        <v>30.68</v>
      </c>
      <c r="M12" s="3">
        <v>5.3129999999999997</v>
      </c>
      <c r="N12" s="3">
        <v>204.3</v>
      </c>
      <c r="O12" s="3">
        <v>5061.8100000000004</v>
      </c>
      <c r="P12" s="3">
        <v>31.52</v>
      </c>
      <c r="Q12" s="3">
        <v>4093.61</v>
      </c>
      <c r="R12" s="3">
        <v>2366.98</v>
      </c>
      <c r="S12" s="3">
        <v>152.96</v>
      </c>
      <c r="T12" s="3">
        <v>20.25</v>
      </c>
      <c r="U12" s="3">
        <v>35.01</v>
      </c>
      <c r="V12" s="3">
        <v>8.41</v>
      </c>
      <c r="W12" s="3">
        <v>18.809999999999999</v>
      </c>
      <c r="X12" s="3">
        <v>5.32</v>
      </c>
      <c r="Y12" s="3">
        <v>41665.519999999997</v>
      </c>
      <c r="Z12" s="3">
        <v>797.03</v>
      </c>
      <c r="AA12">
        <v>2.4279429091401998</v>
      </c>
      <c r="AB12">
        <v>8.6300000000000008</v>
      </c>
      <c r="AC12">
        <v>98.8</v>
      </c>
      <c r="AD12">
        <v>56.3</v>
      </c>
    </row>
    <row r="13" spans="1:30" x14ac:dyDescent="0.25">
      <c r="A13" s="3">
        <v>13</v>
      </c>
      <c r="B13" s="3">
        <v>10</v>
      </c>
      <c r="C13" s="3">
        <v>33.723405999999997</v>
      </c>
      <c r="D13" s="8">
        <v>-82.226168999999999</v>
      </c>
      <c r="E13" s="7">
        <v>32.4</v>
      </c>
      <c r="F13" s="7">
        <v>64.7</v>
      </c>
      <c r="G13" s="7">
        <v>3</v>
      </c>
      <c r="H13" s="3">
        <v>21.26</v>
      </c>
      <c r="I13" s="3">
        <v>11.74</v>
      </c>
      <c r="J13" s="3">
        <f t="shared" si="0"/>
        <v>44.778927563499529</v>
      </c>
      <c r="K13" s="3">
        <v>1.425</v>
      </c>
      <c r="L13" s="3">
        <v>41.08</v>
      </c>
      <c r="M13" s="3">
        <v>8.1649999999999991</v>
      </c>
      <c r="N13" s="3">
        <v>123.95</v>
      </c>
      <c r="O13" s="3">
        <v>6730.7</v>
      </c>
      <c r="P13" s="3">
        <v>90.18</v>
      </c>
      <c r="Q13" s="3">
        <v>10472.44</v>
      </c>
      <c r="R13" s="3">
        <v>2037.35</v>
      </c>
      <c r="S13" s="3">
        <v>255.34</v>
      </c>
      <c r="T13" s="3">
        <v>53.38</v>
      </c>
      <c r="U13" s="3">
        <v>90.19</v>
      </c>
      <c r="V13" s="3">
        <v>27.03</v>
      </c>
      <c r="W13" s="3">
        <v>78.3</v>
      </c>
      <c r="X13" s="3">
        <v>17.3</v>
      </c>
      <c r="Y13" s="3">
        <v>56137.22</v>
      </c>
      <c r="Z13" s="3">
        <v>550.12</v>
      </c>
      <c r="AA13">
        <v>1.16593315781985</v>
      </c>
      <c r="AB13">
        <v>7.37</v>
      </c>
      <c r="AC13">
        <v>100.9</v>
      </c>
      <c r="AD13">
        <v>108.8</v>
      </c>
    </row>
    <row r="14" spans="1:30" x14ac:dyDescent="0.25">
      <c r="A14" s="3">
        <v>14</v>
      </c>
      <c r="B14" s="3">
        <v>8</v>
      </c>
      <c r="C14" s="3">
        <v>33.762726999999998</v>
      </c>
      <c r="D14" s="8">
        <v>-82.225449999999995</v>
      </c>
      <c r="E14" s="7">
        <v>27.3</v>
      </c>
      <c r="F14" s="7">
        <v>72.7</v>
      </c>
      <c r="G14" s="7">
        <v>0</v>
      </c>
      <c r="H14" s="3">
        <v>23.16</v>
      </c>
      <c r="I14" s="3">
        <v>8.36</v>
      </c>
      <c r="J14" s="3">
        <f t="shared" si="0"/>
        <v>63.903281519861835</v>
      </c>
      <c r="K14" s="3">
        <v>1.6120000000000001</v>
      </c>
      <c r="L14" s="3">
        <v>25.39</v>
      </c>
      <c r="M14" s="3">
        <v>8.0380000000000003</v>
      </c>
      <c r="N14" s="3">
        <v>202.88</v>
      </c>
      <c r="O14" s="3">
        <v>6492.82</v>
      </c>
      <c r="P14" s="3">
        <v>70.959999999999994</v>
      </c>
      <c r="Q14" s="3">
        <v>8617.5</v>
      </c>
      <c r="R14" s="3">
        <v>1520.53</v>
      </c>
      <c r="S14" s="3">
        <v>211.52</v>
      </c>
      <c r="T14" s="3">
        <v>42.85</v>
      </c>
      <c r="U14" s="3">
        <v>68.819999999999993</v>
      </c>
      <c r="V14" s="3">
        <v>16.32</v>
      </c>
      <c r="W14" s="3">
        <v>34.96</v>
      </c>
      <c r="X14" s="3">
        <v>6.24</v>
      </c>
      <c r="Y14" s="3">
        <v>47005.71</v>
      </c>
      <c r="Z14" s="3">
        <v>692.01</v>
      </c>
      <c r="AA14">
        <v>1.5792445086927001</v>
      </c>
      <c r="AB14">
        <v>8.8000000000000007</v>
      </c>
      <c r="AC14">
        <v>101.9</v>
      </c>
      <c r="AD14">
        <v>108.2</v>
      </c>
    </row>
    <row r="15" spans="1:30" x14ac:dyDescent="0.25">
      <c r="A15" s="3">
        <v>15</v>
      </c>
      <c r="B15" s="3">
        <v>9</v>
      </c>
      <c r="C15" s="3">
        <v>33.774548000000003</v>
      </c>
      <c r="D15" s="8">
        <v>-82.230376000000007</v>
      </c>
      <c r="E15" s="7">
        <v>32.6</v>
      </c>
      <c r="F15" s="7">
        <v>67.400000000000006</v>
      </c>
      <c r="G15" s="7">
        <v>0</v>
      </c>
      <c r="H15" s="3">
        <v>22.68</v>
      </c>
      <c r="I15" s="3">
        <v>6.92</v>
      </c>
      <c r="J15" s="3">
        <f t="shared" si="0"/>
        <v>69.488536155202823</v>
      </c>
      <c r="K15" s="3">
        <v>1.3520000000000001</v>
      </c>
      <c r="L15" s="3">
        <v>1.3520000000000001</v>
      </c>
      <c r="M15" s="3">
        <v>6.6459999999999999</v>
      </c>
      <c r="N15" s="3">
        <v>192.97</v>
      </c>
      <c r="O15" s="3">
        <v>6634.18</v>
      </c>
      <c r="P15" s="3">
        <v>76.11</v>
      </c>
      <c r="Q15" s="3">
        <v>9259.5499999999993</v>
      </c>
      <c r="R15" s="3">
        <v>1456.78</v>
      </c>
      <c r="S15" s="3">
        <v>245.78</v>
      </c>
      <c r="T15" s="3">
        <v>52.98</v>
      </c>
      <c r="U15" s="3">
        <v>76.45</v>
      </c>
      <c r="V15" s="3">
        <v>20.74</v>
      </c>
      <c r="W15" s="3">
        <v>36.520000000000003</v>
      </c>
      <c r="X15" s="3">
        <v>9.89</v>
      </c>
      <c r="Y15" s="3">
        <v>54584.78</v>
      </c>
      <c r="Z15" s="3">
        <v>745.79</v>
      </c>
      <c r="AA15">
        <v>1.8751876988971601</v>
      </c>
      <c r="AB15">
        <v>9.1</v>
      </c>
      <c r="AC15">
        <v>103.8</v>
      </c>
      <c r="AD15">
        <v>108.7</v>
      </c>
    </row>
    <row r="16" spans="1:30" ht="15.75" thickBot="1" x14ac:dyDescent="0.3">
      <c r="A16" s="3">
        <v>16</v>
      </c>
      <c r="B16" s="17">
        <v>24</v>
      </c>
      <c r="C16" s="3">
        <v>33.762369999999997</v>
      </c>
      <c r="D16" s="8">
        <v>-82.238669999999999</v>
      </c>
      <c r="E16" s="7">
        <v>39.799999999999997</v>
      </c>
      <c r="F16" s="7">
        <v>60.3</v>
      </c>
      <c r="G16" s="7">
        <v>0</v>
      </c>
      <c r="H16" s="3">
        <v>19.25</v>
      </c>
      <c r="I16" s="3">
        <v>5.94</v>
      </c>
      <c r="J16" s="3">
        <f t="shared" si="0"/>
        <v>69.142857142857139</v>
      </c>
      <c r="K16" s="3">
        <v>1.0469999999999999</v>
      </c>
      <c r="L16" s="3">
        <v>17.920000000000002</v>
      </c>
      <c r="M16" s="3">
        <v>5.3230000000000004</v>
      </c>
      <c r="N16" s="3">
        <v>170.69</v>
      </c>
      <c r="O16" s="3">
        <v>6582.37</v>
      </c>
      <c r="P16" s="3">
        <v>84.07</v>
      </c>
      <c r="Q16" s="3">
        <v>9218.2900000000009</v>
      </c>
      <c r="R16" s="3">
        <v>1383.07</v>
      </c>
      <c r="S16" s="3">
        <v>275.7</v>
      </c>
      <c r="T16" s="3">
        <v>44.14</v>
      </c>
      <c r="U16" s="3">
        <v>79.89</v>
      </c>
      <c r="V16" s="3">
        <v>22.07</v>
      </c>
      <c r="W16" s="3">
        <v>37.44</v>
      </c>
      <c r="X16" s="3">
        <v>11.69</v>
      </c>
      <c r="Y16" s="3">
        <v>68609.91</v>
      </c>
      <c r="Z16" s="3">
        <v>1228.48</v>
      </c>
      <c r="AA16">
        <v>1.8881267567647899</v>
      </c>
      <c r="AB16">
        <v>9.5500000000000007</v>
      </c>
      <c r="AC16">
        <v>102.1</v>
      </c>
      <c r="AD16">
        <v>108.7</v>
      </c>
    </row>
    <row r="17" spans="1:30" ht="15.75" thickBot="1" x14ac:dyDescent="0.3">
      <c r="A17" s="5">
        <v>19</v>
      </c>
      <c r="B17" s="5">
        <v>13</v>
      </c>
      <c r="C17" s="3">
        <v>33.746248000000001</v>
      </c>
      <c r="D17" s="6">
        <v>-82.263118000000006</v>
      </c>
      <c r="E17" s="7">
        <v>36.200000000000003</v>
      </c>
      <c r="F17" s="7">
        <v>63.6</v>
      </c>
      <c r="G17" s="7">
        <v>0.3</v>
      </c>
      <c r="H17" s="3">
        <v>29.69</v>
      </c>
      <c r="I17" s="3">
        <v>8.83</v>
      </c>
      <c r="J17" s="3">
        <f t="shared" si="0"/>
        <v>70.259346581340509</v>
      </c>
      <c r="K17" s="3">
        <v>1.048</v>
      </c>
      <c r="L17" s="3">
        <v>25.86</v>
      </c>
      <c r="M17" s="3">
        <v>6.5119999999999996</v>
      </c>
      <c r="N17" s="3">
        <v>185.94</v>
      </c>
      <c r="O17" s="3">
        <v>4593.03</v>
      </c>
      <c r="P17" s="3">
        <v>73.8</v>
      </c>
      <c r="Q17" s="3">
        <v>5706.22</v>
      </c>
      <c r="R17" s="3">
        <v>1082.28</v>
      </c>
      <c r="S17" s="3">
        <v>157.54</v>
      </c>
      <c r="T17" s="3">
        <v>26.39</v>
      </c>
      <c r="U17" s="3">
        <v>65.38</v>
      </c>
      <c r="V17" s="3">
        <v>19.739999999999998</v>
      </c>
      <c r="W17" s="3">
        <v>32.72</v>
      </c>
      <c r="X17" s="3">
        <v>7.69</v>
      </c>
      <c r="Y17" s="3">
        <v>50615.16</v>
      </c>
      <c r="Z17" s="3">
        <v>1089.45</v>
      </c>
      <c r="AA17">
        <v>2.1597778344449399</v>
      </c>
      <c r="AB17">
        <v>9.8000000000000007</v>
      </c>
      <c r="AC17">
        <v>95.7</v>
      </c>
      <c r="AD17">
        <v>109.4</v>
      </c>
    </row>
    <row r="18" spans="1:30" ht="15.75" thickBot="1" x14ac:dyDescent="0.3">
      <c r="A18" s="5">
        <v>20</v>
      </c>
      <c r="B18" s="5">
        <v>9</v>
      </c>
      <c r="C18" s="6">
        <v>33.734357000000003</v>
      </c>
      <c r="D18" s="6">
        <v>-82.256676999999996</v>
      </c>
      <c r="E18" s="7">
        <v>25.6</v>
      </c>
      <c r="F18" s="7">
        <v>55.6</v>
      </c>
      <c r="G18" s="7">
        <v>4.0999999999999996</v>
      </c>
      <c r="H18" s="3">
        <v>25.07</v>
      </c>
      <c r="I18" s="3">
        <v>10.86</v>
      </c>
      <c r="J18" s="3">
        <f t="shared" si="0"/>
        <v>56.68129238133227</v>
      </c>
      <c r="K18" s="3">
        <v>1.5509999999999999</v>
      </c>
      <c r="L18" s="3">
        <v>44.7</v>
      </c>
      <c r="M18" s="3">
        <v>11.08</v>
      </c>
      <c r="N18" s="3">
        <v>199.47</v>
      </c>
      <c r="O18" s="3">
        <v>5914.16</v>
      </c>
      <c r="P18" s="3">
        <v>63.86</v>
      </c>
      <c r="Q18" s="3">
        <v>7437.71</v>
      </c>
      <c r="R18" s="3">
        <v>2152.36</v>
      </c>
      <c r="S18" s="3">
        <v>209.87</v>
      </c>
      <c r="T18" s="3">
        <v>37.42</v>
      </c>
      <c r="U18" s="3">
        <v>59.48</v>
      </c>
      <c r="V18" s="3">
        <v>20.48</v>
      </c>
      <c r="W18" s="3">
        <v>31.25</v>
      </c>
      <c r="X18" s="3">
        <v>9.68</v>
      </c>
      <c r="Y18" s="3">
        <v>43801.4</v>
      </c>
      <c r="Z18" s="3">
        <v>1044.3499999999999</v>
      </c>
      <c r="AA18">
        <v>2.4772975988847699</v>
      </c>
      <c r="AB18">
        <v>9.76</v>
      </c>
      <c r="AC18">
        <v>97.1</v>
      </c>
      <c r="AD18">
        <v>108.8</v>
      </c>
    </row>
    <row r="19" spans="1:30" ht="15.75" thickBot="1" x14ac:dyDescent="0.3">
      <c r="A19" s="5">
        <v>21</v>
      </c>
      <c r="B19" s="5">
        <v>29</v>
      </c>
      <c r="C19" s="6">
        <v>33.688527999999998</v>
      </c>
      <c r="D19" s="6">
        <v>-82.262248999999997</v>
      </c>
      <c r="E19" s="7">
        <v>47.8</v>
      </c>
      <c r="F19" s="7">
        <v>51.9</v>
      </c>
      <c r="G19" s="7">
        <v>0.3</v>
      </c>
      <c r="H19" s="3">
        <v>20.73</v>
      </c>
      <c r="I19" s="3">
        <v>4</v>
      </c>
      <c r="J19" s="3">
        <f t="shared" si="0"/>
        <v>80.70429329474193</v>
      </c>
      <c r="K19" s="3">
        <v>0.84099999999999997</v>
      </c>
      <c r="L19" s="3">
        <v>21.32</v>
      </c>
      <c r="M19" s="3">
        <v>4.2149999999999999</v>
      </c>
      <c r="N19" s="3">
        <v>148.28</v>
      </c>
      <c r="O19" s="3">
        <v>5529.46</v>
      </c>
      <c r="P19" s="3">
        <v>83.93</v>
      </c>
      <c r="Q19" s="3">
        <v>7335.77</v>
      </c>
      <c r="R19" s="3">
        <v>1246.06</v>
      </c>
      <c r="S19" s="3">
        <v>233.72</v>
      </c>
      <c r="T19" s="3">
        <v>43.41</v>
      </c>
      <c r="U19" s="3">
        <v>89.36</v>
      </c>
      <c r="V19" s="3">
        <v>23.64</v>
      </c>
      <c r="W19" s="3">
        <v>36.18</v>
      </c>
      <c r="X19" s="3">
        <v>12.58</v>
      </c>
      <c r="Y19" s="3">
        <v>93302.8</v>
      </c>
      <c r="Z19" s="3">
        <v>1010.26</v>
      </c>
      <c r="AA19">
        <v>2.7092584800727901</v>
      </c>
      <c r="AB19">
        <v>9.57</v>
      </c>
      <c r="AC19">
        <v>98.8</v>
      </c>
      <c r="AD19">
        <v>109.9</v>
      </c>
    </row>
    <row r="20" spans="1:30" ht="15.75" thickBot="1" x14ac:dyDescent="0.3">
      <c r="A20" s="5">
        <v>23</v>
      </c>
      <c r="B20" s="9">
        <v>11</v>
      </c>
      <c r="C20" s="6">
        <v>33.708874999999999</v>
      </c>
      <c r="D20" s="6">
        <v>-82.305079000000006</v>
      </c>
      <c r="E20" s="7">
        <v>36.799999999999997</v>
      </c>
      <c r="F20" s="7">
        <v>62.5</v>
      </c>
      <c r="G20" s="7">
        <v>0.7</v>
      </c>
      <c r="H20" s="3">
        <v>27.62</v>
      </c>
      <c r="I20" s="3">
        <v>7.81</v>
      </c>
      <c r="J20" s="3">
        <f t="shared" si="0"/>
        <v>71.723388848660392</v>
      </c>
      <c r="K20" s="3">
        <v>1.097</v>
      </c>
      <c r="L20" s="3">
        <v>24.15</v>
      </c>
      <c r="M20" s="3">
        <v>6.173</v>
      </c>
      <c r="N20" s="3">
        <v>199.34</v>
      </c>
      <c r="O20" s="3">
        <v>5926.3</v>
      </c>
      <c r="P20" s="3">
        <v>66.599999999999994</v>
      </c>
      <c r="Q20" s="3">
        <v>7397.26</v>
      </c>
      <c r="R20" s="3">
        <v>1734.11</v>
      </c>
      <c r="S20" s="3">
        <v>224.2</v>
      </c>
      <c r="T20" s="3">
        <v>40.96</v>
      </c>
      <c r="U20" s="3">
        <v>61.24</v>
      </c>
      <c r="V20" s="3">
        <v>22.37</v>
      </c>
      <c r="W20" s="3">
        <v>37.200000000000003</v>
      </c>
      <c r="X20" s="3">
        <v>10.31</v>
      </c>
      <c r="Y20" s="3">
        <v>49530.73</v>
      </c>
      <c r="Z20" s="3">
        <v>541.79</v>
      </c>
      <c r="AA20">
        <v>2.1097805477826399</v>
      </c>
      <c r="AB20">
        <v>9.8000000000000007</v>
      </c>
      <c r="AC20">
        <v>99.2</v>
      </c>
      <c r="AD20">
        <v>112.1</v>
      </c>
    </row>
    <row r="21" spans="1:30" ht="15.75" customHeight="1" thickBot="1" x14ac:dyDescent="0.3">
      <c r="A21" s="5"/>
      <c r="B21" s="5"/>
      <c r="C21" s="6"/>
      <c r="D21" s="6"/>
      <c r="E21" s="7"/>
      <c r="F21" s="7"/>
      <c r="G21" s="7"/>
    </row>
    <row r="22" spans="1:30" ht="15.75" customHeight="1" thickBot="1" x14ac:dyDescent="0.3">
      <c r="A22" s="5"/>
      <c r="B22" s="5"/>
      <c r="C22" s="6"/>
      <c r="D22" s="6"/>
      <c r="E22" s="7"/>
      <c r="F22" s="7"/>
      <c r="G22" s="7"/>
    </row>
    <row r="23" spans="1:30" ht="15.75" customHeight="1" x14ac:dyDescent="0.25">
      <c r="A23" s="9" t="s">
        <v>43</v>
      </c>
      <c r="B23" s="9"/>
      <c r="C23" s="9" t="s">
        <v>44</v>
      </c>
      <c r="J23" s="1"/>
      <c r="N23" s="3">
        <v>509.02</v>
      </c>
      <c r="O23" s="3">
        <v>3167.73</v>
      </c>
      <c r="P23" s="3">
        <v>97.98</v>
      </c>
      <c r="Q23" s="3">
        <v>30135.91</v>
      </c>
      <c r="R23" s="3">
        <v>6816.07</v>
      </c>
      <c r="S23" s="3">
        <v>80.88</v>
      </c>
      <c r="T23" s="3">
        <v>52.57</v>
      </c>
      <c r="U23" s="3">
        <v>161.88</v>
      </c>
      <c r="V23" s="3">
        <v>155.38999999999999</v>
      </c>
      <c r="W23" s="3">
        <v>130.57</v>
      </c>
      <c r="X23" s="3">
        <v>19.100000000000001</v>
      </c>
      <c r="Y23" s="3">
        <v>16113.97</v>
      </c>
      <c r="Z23" s="3">
        <v>465.74</v>
      </c>
    </row>
    <row r="24" spans="1:30" ht="15.75" customHeight="1" x14ac:dyDescent="0.25">
      <c r="A24" s="9" t="s">
        <v>43</v>
      </c>
      <c r="C24" s="9" t="s">
        <v>45</v>
      </c>
      <c r="N24" s="3">
        <v>251.31</v>
      </c>
      <c r="O24" s="3">
        <v>2992.65</v>
      </c>
      <c r="P24" s="3">
        <v>147.80000000000001</v>
      </c>
      <c r="Q24" s="3">
        <v>31509.97</v>
      </c>
      <c r="R24" s="3">
        <v>9625.89</v>
      </c>
      <c r="S24" s="3">
        <v>116.47</v>
      </c>
      <c r="T24" s="3">
        <v>1128.79</v>
      </c>
      <c r="U24" s="3">
        <v>3622.64</v>
      </c>
      <c r="V24" s="3">
        <v>3906.33</v>
      </c>
      <c r="W24" s="3">
        <v>182.73</v>
      </c>
      <c r="X24" s="3">
        <v>39.04</v>
      </c>
      <c r="Y24" s="3">
        <v>44012.63</v>
      </c>
      <c r="Z24" s="3">
        <v>3715.05</v>
      </c>
    </row>
    <row r="25" spans="1:30" ht="15.75" customHeight="1" x14ac:dyDescent="0.25">
      <c r="A25" s="9" t="s">
        <v>43</v>
      </c>
      <c r="B25" s="9"/>
      <c r="C25" s="9" t="s">
        <v>46</v>
      </c>
      <c r="N25" s="3">
        <v>260.64</v>
      </c>
      <c r="O25" s="3">
        <v>1522.82</v>
      </c>
      <c r="P25" s="3">
        <v>139.47999999999999</v>
      </c>
      <c r="Q25" s="3">
        <v>36581.589999999997</v>
      </c>
      <c r="R25" s="3">
        <v>5564.52</v>
      </c>
      <c r="S25" s="3">
        <v>72.77</v>
      </c>
      <c r="T25" s="3">
        <v>217.49</v>
      </c>
      <c r="U25" s="3">
        <v>700.08</v>
      </c>
      <c r="V25" s="3">
        <v>786.28</v>
      </c>
      <c r="W25" s="3">
        <v>144.37</v>
      </c>
      <c r="X25" s="3">
        <v>22.56</v>
      </c>
      <c r="Y25" s="3">
        <v>13389.25</v>
      </c>
      <c r="Z25" s="3">
        <v>762.51</v>
      </c>
    </row>
    <row r="26" spans="1:30" ht="15.75" customHeight="1" x14ac:dyDescent="0.25"/>
    <row r="27" spans="1:30" ht="15.75" customHeight="1" x14ac:dyDescent="0.25"/>
    <row r="28" spans="1:30" ht="15.75" customHeight="1" x14ac:dyDescent="0.25"/>
    <row r="29" spans="1:30" ht="15.75" customHeight="1" x14ac:dyDescent="0.25"/>
    <row r="30" spans="1:30" ht="15.75" customHeight="1" x14ac:dyDescent="0.25"/>
    <row r="31" spans="1:30" ht="15.75" customHeight="1" x14ac:dyDescent="0.25"/>
    <row r="32" spans="1:3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B1:AD1 AB4:AD20 AB2:AC2 AC3 A25:Z25 A24 C24:Z24 A1:Z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1457-F5E5-44AB-AA91-600FE1589650}">
  <dimension ref="A1:B16"/>
  <sheetViews>
    <sheetView workbookViewId="0">
      <selection activeCell="F22" sqref="F22"/>
    </sheetView>
  </sheetViews>
  <sheetFormatPr defaultRowHeight="15" x14ac:dyDescent="0.25"/>
  <sheetData>
    <row r="1" spans="1:2" x14ac:dyDescent="0.25">
      <c r="A1" s="12" t="s">
        <v>82</v>
      </c>
      <c r="B1" s="12"/>
    </row>
    <row r="3" spans="1:2" x14ac:dyDescent="0.25">
      <c r="A3" t="s">
        <v>1</v>
      </c>
      <c r="B3">
        <v>2.3428880565913355</v>
      </c>
    </row>
    <row r="4" spans="1:2" x14ac:dyDescent="0.25">
      <c r="A4" t="s">
        <v>2</v>
      </c>
      <c r="B4">
        <v>0.12135432742235479</v>
      </c>
    </row>
    <row r="5" spans="1:2" x14ac:dyDescent="0.25">
      <c r="A5" t="s">
        <v>3</v>
      </c>
      <c r="B5">
        <v>2.4772975988847699</v>
      </c>
    </row>
    <row r="6" spans="1:2" x14ac:dyDescent="0.25">
      <c r="A6" t="s">
        <v>4</v>
      </c>
      <c r="B6" t="e">
        <v>#N/A</v>
      </c>
    </row>
    <row r="7" spans="1:2" x14ac:dyDescent="0.25">
      <c r="A7" s="15" t="s">
        <v>5</v>
      </c>
      <c r="B7">
        <v>0.52897124959539132</v>
      </c>
    </row>
    <row r="8" spans="1:2" x14ac:dyDescent="0.25">
      <c r="A8" t="s">
        <v>6</v>
      </c>
      <c r="B8">
        <v>0.27981058289850974</v>
      </c>
    </row>
    <row r="9" spans="1:2" x14ac:dyDescent="0.25">
      <c r="A9" t="s">
        <v>7</v>
      </c>
      <c r="B9">
        <v>-0.18154781905977613</v>
      </c>
    </row>
    <row r="10" spans="1:2" x14ac:dyDescent="0.25">
      <c r="A10" t="s">
        <v>8</v>
      </c>
      <c r="B10">
        <v>-0.69634811641042116</v>
      </c>
    </row>
    <row r="11" spans="1:2" x14ac:dyDescent="0.25">
      <c r="A11" t="s">
        <v>9</v>
      </c>
      <c r="B11">
        <v>1.9461198952366199</v>
      </c>
    </row>
    <row r="12" spans="1:2" x14ac:dyDescent="0.25">
      <c r="A12" s="15" t="s">
        <v>10</v>
      </c>
      <c r="B12">
        <v>1.16593315781985</v>
      </c>
    </row>
    <row r="13" spans="1:2" x14ac:dyDescent="0.25">
      <c r="A13" t="s">
        <v>11</v>
      </c>
      <c r="B13">
        <v>3.1120530530564698</v>
      </c>
    </row>
    <row r="14" spans="1:2" x14ac:dyDescent="0.25">
      <c r="A14" t="s">
        <v>12</v>
      </c>
      <c r="B14">
        <v>44.514873075235371</v>
      </c>
    </row>
    <row r="15" spans="1:2" x14ac:dyDescent="0.25">
      <c r="A15" t="s">
        <v>13</v>
      </c>
      <c r="B15">
        <v>19</v>
      </c>
    </row>
    <row r="16" spans="1:2" ht="15.75" thickBot="1" x14ac:dyDescent="0.3">
      <c r="A16" s="10" t="s">
        <v>14</v>
      </c>
      <c r="B16" s="10">
        <v>0.25495598116025253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19E2-59C9-4EF2-8B0E-79980F37DB25}">
  <dimension ref="A1:N28"/>
  <sheetViews>
    <sheetView topLeftCell="D1" workbookViewId="0">
      <selection activeCell="M27" sqref="M27"/>
    </sheetView>
  </sheetViews>
  <sheetFormatPr defaultRowHeight="15" x14ac:dyDescent="0.25"/>
  <cols>
    <col min="2" max="2" width="14.140625" customWidth="1"/>
    <col min="3" max="3" width="14.5703125" customWidth="1"/>
    <col min="4" max="4" width="17.85546875" customWidth="1"/>
    <col min="6" max="6" width="13.140625" customWidth="1"/>
    <col min="11" max="11" width="20" customWidth="1"/>
    <col min="12" max="12" width="15.140625" customWidth="1"/>
    <col min="13" max="13" width="16.5703125" customWidth="1"/>
  </cols>
  <sheetData>
    <row r="1" spans="1:14" x14ac:dyDescent="0.25"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K1" s="15" t="s">
        <v>37</v>
      </c>
      <c r="L1" t="s">
        <v>50</v>
      </c>
      <c r="M1" s="15" t="s">
        <v>83</v>
      </c>
      <c r="N1" s="15"/>
    </row>
    <row r="2" spans="1:14" x14ac:dyDescent="0.25">
      <c r="A2">
        <v>1</v>
      </c>
      <c r="B2" s="13" t="s">
        <v>54</v>
      </c>
      <c r="C2">
        <v>7.2569444444444443E-3</v>
      </c>
      <c r="D2" t="s">
        <v>55</v>
      </c>
      <c r="E2">
        <v>103.2</v>
      </c>
      <c r="F2">
        <v>2.7712895845142098</v>
      </c>
      <c r="G2" t="s">
        <v>56</v>
      </c>
      <c r="H2" t="s">
        <v>56</v>
      </c>
      <c r="K2">
        <v>1</v>
      </c>
      <c r="L2">
        <v>103.2</v>
      </c>
      <c r="M2" s="14">
        <v>2.7712895845142098</v>
      </c>
      <c r="N2" s="14"/>
    </row>
    <row r="3" spans="1:14" x14ac:dyDescent="0.25">
      <c r="A3">
        <v>2</v>
      </c>
      <c r="B3" s="13" t="s">
        <v>54</v>
      </c>
      <c r="C3">
        <v>1.0173611111111111E-2</v>
      </c>
      <c r="D3" t="s">
        <v>57</v>
      </c>
      <c r="E3">
        <v>109.7</v>
      </c>
      <c r="F3">
        <v>1.56219866793942</v>
      </c>
      <c r="G3" t="s">
        <v>56</v>
      </c>
      <c r="H3" t="s">
        <v>56</v>
      </c>
      <c r="K3">
        <v>2</v>
      </c>
      <c r="L3">
        <v>109.7</v>
      </c>
      <c r="M3" s="14">
        <v>1.56219866793942</v>
      </c>
      <c r="N3" s="14"/>
    </row>
    <row r="4" spans="1:14" x14ac:dyDescent="0.25">
      <c r="A4">
        <v>3</v>
      </c>
      <c r="B4" s="13" t="s">
        <v>54</v>
      </c>
      <c r="C4">
        <v>1.4131944444444445E-2</v>
      </c>
      <c r="D4" t="s">
        <v>58</v>
      </c>
      <c r="E4">
        <v>100.9</v>
      </c>
      <c r="F4">
        <v>3.1120530530564698</v>
      </c>
      <c r="G4" t="s">
        <v>56</v>
      </c>
      <c r="H4" t="s">
        <v>56</v>
      </c>
      <c r="K4">
        <v>3</v>
      </c>
      <c r="L4">
        <v>100.9</v>
      </c>
      <c r="M4" s="14">
        <v>3.1120530530564698</v>
      </c>
      <c r="N4" s="14"/>
    </row>
    <row r="5" spans="1:14" x14ac:dyDescent="0.25">
      <c r="A5">
        <v>4</v>
      </c>
      <c r="B5" s="13" t="s">
        <v>54</v>
      </c>
      <c r="C5">
        <v>1.7974537037037035E-2</v>
      </c>
      <c r="D5" t="s">
        <v>59</v>
      </c>
      <c r="E5">
        <v>102.2</v>
      </c>
      <c r="F5">
        <v>3.02038426758324</v>
      </c>
      <c r="G5" t="s">
        <v>56</v>
      </c>
      <c r="H5" t="s">
        <v>56</v>
      </c>
      <c r="K5">
        <v>4</v>
      </c>
      <c r="L5">
        <v>102.2</v>
      </c>
      <c r="M5" s="14">
        <v>3.02038426758324</v>
      </c>
      <c r="N5" s="14"/>
    </row>
    <row r="6" spans="1:14" x14ac:dyDescent="0.25">
      <c r="A6">
        <v>5</v>
      </c>
      <c r="B6" s="13" t="s">
        <v>54</v>
      </c>
      <c r="C6">
        <v>2.2569444444444444E-2</v>
      </c>
      <c r="D6" t="s">
        <v>60</v>
      </c>
      <c r="E6">
        <v>101.6</v>
      </c>
      <c r="F6">
        <v>2.3803167880774598</v>
      </c>
      <c r="G6" t="s">
        <v>56</v>
      </c>
      <c r="H6" t="s">
        <v>56</v>
      </c>
      <c r="K6">
        <v>5</v>
      </c>
      <c r="L6">
        <v>101.6</v>
      </c>
      <c r="M6" s="14">
        <v>2.3803167880774598</v>
      </c>
      <c r="N6" s="14"/>
    </row>
    <row r="7" spans="1:14" x14ac:dyDescent="0.25">
      <c r="A7">
        <v>6</v>
      </c>
      <c r="B7" s="13" t="s">
        <v>54</v>
      </c>
      <c r="C7">
        <v>2.6030092592592594E-2</v>
      </c>
      <c r="D7" t="s">
        <v>61</v>
      </c>
      <c r="E7">
        <v>112.4</v>
      </c>
      <c r="F7">
        <v>2.5027218477615198</v>
      </c>
      <c r="G7" t="s">
        <v>56</v>
      </c>
      <c r="H7" t="s">
        <v>56</v>
      </c>
      <c r="K7">
        <v>6</v>
      </c>
      <c r="L7">
        <v>112.4</v>
      </c>
      <c r="M7" s="14">
        <v>2.5027218477615198</v>
      </c>
      <c r="N7" s="14"/>
    </row>
    <row r="8" spans="1:14" x14ac:dyDescent="0.25">
      <c r="A8">
        <v>7</v>
      </c>
      <c r="B8" s="13" t="s">
        <v>54</v>
      </c>
      <c r="C8">
        <v>3.0717592592592591E-2</v>
      </c>
      <c r="D8" t="s">
        <v>62</v>
      </c>
      <c r="E8">
        <v>110.6</v>
      </c>
      <c r="F8">
        <v>2.5533982664475499</v>
      </c>
      <c r="G8" t="s">
        <v>56</v>
      </c>
      <c r="H8" t="s">
        <v>56</v>
      </c>
      <c r="K8">
        <v>7</v>
      </c>
      <c r="L8">
        <v>110.6</v>
      </c>
      <c r="M8" s="14">
        <v>2.5533982664475499</v>
      </c>
      <c r="N8" s="14"/>
    </row>
    <row r="9" spans="1:14" x14ac:dyDescent="0.25">
      <c r="A9">
        <v>8</v>
      </c>
      <c r="B9" s="13" t="s">
        <v>54</v>
      </c>
      <c r="C9">
        <v>3.3726851851851855E-2</v>
      </c>
      <c r="D9" t="s">
        <v>63</v>
      </c>
      <c r="E9">
        <v>123</v>
      </c>
      <c r="F9">
        <v>2.6717858248852302</v>
      </c>
      <c r="G9" t="s">
        <v>56</v>
      </c>
      <c r="H9" t="s">
        <v>56</v>
      </c>
      <c r="K9">
        <v>8</v>
      </c>
      <c r="L9">
        <v>123</v>
      </c>
      <c r="M9" s="14">
        <v>2.6717858248852302</v>
      </c>
      <c r="N9" s="14"/>
    </row>
    <row r="10" spans="1:14" x14ac:dyDescent="0.25">
      <c r="A10">
        <v>9</v>
      </c>
      <c r="B10" s="13" t="s">
        <v>54</v>
      </c>
      <c r="C10">
        <v>3.6909722222222219E-2</v>
      </c>
      <c r="D10" t="s">
        <v>64</v>
      </c>
      <c r="E10">
        <v>105.7</v>
      </c>
      <c r="F10">
        <v>2.78725613208388</v>
      </c>
      <c r="G10" t="s">
        <v>56</v>
      </c>
      <c r="H10" t="s">
        <v>56</v>
      </c>
      <c r="K10">
        <v>9</v>
      </c>
      <c r="L10">
        <v>105.7</v>
      </c>
      <c r="M10" s="14">
        <v>2.78725613208388</v>
      </c>
      <c r="N10" s="14"/>
    </row>
    <row r="11" spans="1:14" x14ac:dyDescent="0.25">
      <c r="A11">
        <v>10</v>
      </c>
      <c r="B11" s="13" t="s">
        <v>54</v>
      </c>
      <c r="C11">
        <v>3.9606481481481479E-2</v>
      </c>
      <c r="D11" t="s">
        <v>65</v>
      </c>
      <c r="E11">
        <v>105.6</v>
      </c>
      <c r="F11">
        <v>2.76091915038656</v>
      </c>
      <c r="G11" t="s">
        <v>56</v>
      </c>
      <c r="H11" t="s">
        <v>56</v>
      </c>
      <c r="K11">
        <v>10</v>
      </c>
      <c r="L11">
        <v>105.6</v>
      </c>
      <c r="M11" s="14">
        <v>2.76091915038656</v>
      </c>
      <c r="N11" s="14"/>
    </row>
    <row r="12" spans="1:14" x14ac:dyDescent="0.25">
      <c r="A12">
        <v>11</v>
      </c>
      <c r="B12" s="13" t="s">
        <v>54</v>
      </c>
      <c r="C12">
        <v>4.2395833333333334E-2</v>
      </c>
      <c r="D12" t="s">
        <v>66</v>
      </c>
      <c r="K12">
        <v>12</v>
      </c>
      <c r="L12">
        <v>121.2</v>
      </c>
      <c r="M12" s="14">
        <v>2.4279429091401998</v>
      </c>
      <c r="N12" s="14"/>
    </row>
    <row r="13" spans="1:14" x14ac:dyDescent="0.25">
      <c r="A13">
        <v>12</v>
      </c>
      <c r="B13" s="13" t="s">
        <v>54</v>
      </c>
      <c r="C13">
        <v>4.4050925925925924E-2</v>
      </c>
      <c r="D13" t="s">
        <v>67</v>
      </c>
      <c r="K13">
        <v>13</v>
      </c>
      <c r="L13">
        <v>162.4</v>
      </c>
      <c r="M13" s="14">
        <v>1.16593315781985</v>
      </c>
      <c r="N13" s="14"/>
    </row>
    <row r="14" spans="1:14" x14ac:dyDescent="0.25">
      <c r="A14">
        <v>13</v>
      </c>
      <c r="B14" s="13" t="s">
        <v>54</v>
      </c>
      <c r="C14">
        <v>4.7592592592592596E-2</v>
      </c>
      <c r="D14" t="s">
        <v>68</v>
      </c>
      <c r="E14">
        <v>121.2</v>
      </c>
      <c r="F14">
        <v>2.4279429091401998</v>
      </c>
      <c r="G14" t="s">
        <v>56</v>
      </c>
      <c r="H14" t="s">
        <v>56</v>
      </c>
      <c r="K14">
        <v>14</v>
      </c>
      <c r="L14">
        <v>111</v>
      </c>
      <c r="M14" s="14">
        <v>1.5792445086927001</v>
      </c>
      <c r="N14" s="14"/>
    </row>
    <row r="15" spans="1:14" x14ac:dyDescent="0.25">
      <c r="A15">
        <v>14</v>
      </c>
      <c r="B15" s="13" t="s">
        <v>54</v>
      </c>
      <c r="C15">
        <v>5.0243055555555555E-2</v>
      </c>
      <c r="D15" t="s">
        <v>69</v>
      </c>
      <c r="E15">
        <v>162.4</v>
      </c>
      <c r="F15">
        <v>1.16593315781985</v>
      </c>
      <c r="G15" t="s">
        <v>56</v>
      </c>
      <c r="H15" t="s">
        <v>56</v>
      </c>
      <c r="K15">
        <v>15</v>
      </c>
      <c r="L15">
        <v>107.7</v>
      </c>
      <c r="M15" s="14">
        <v>1.8751876988971601</v>
      </c>
      <c r="N15" s="14"/>
    </row>
    <row r="16" spans="1:14" x14ac:dyDescent="0.25">
      <c r="A16">
        <v>15</v>
      </c>
      <c r="B16" s="13" t="s">
        <v>54</v>
      </c>
      <c r="C16">
        <v>5.3148148148148146E-2</v>
      </c>
      <c r="D16" t="s">
        <v>70</v>
      </c>
      <c r="E16">
        <v>111</v>
      </c>
      <c r="F16">
        <v>1.5792445086927001</v>
      </c>
      <c r="G16" t="s">
        <v>56</v>
      </c>
      <c r="H16" t="s">
        <v>56</v>
      </c>
      <c r="K16">
        <v>16</v>
      </c>
      <c r="L16">
        <v>135.6</v>
      </c>
      <c r="M16" s="14">
        <v>1.8881267567647899</v>
      </c>
      <c r="N16" s="14"/>
    </row>
    <row r="17" spans="1:14" x14ac:dyDescent="0.25">
      <c r="A17">
        <v>16</v>
      </c>
      <c r="B17" s="13" t="s">
        <v>54</v>
      </c>
      <c r="C17">
        <v>5.6076388888888891E-2</v>
      </c>
      <c r="D17" t="s">
        <v>71</v>
      </c>
      <c r="E17">
        <v>107.7</v>
      </c>
      <c r="F17">
        <v>1.8751876988971601</v>
      </c>
      <c r="G17" t="s">
        <v>56</v>
      </c>
      <c r="H17" t="s">
        <v>56</v>
      </c>
      <c r="K17">
        <v>19</v>
      </c>
      <c r="L17">
        <v>141.4</v>
      </c>
      <c r="M17" s="14">
        <v>2.1597778344449399</v>
      </c>
      <c r="N17" s="14"/>
    </row>
    <row r="18" spans="1:14" x14ac:dyDescent="0.25">
      <c r="A18">
        <v>17</v>
      </c>
      <c r="B18" s="13" t="s">
        <v>54</v>
      </c>
      <c r="C18">
        <v>5.9328703703703703E-2</v>
      </c>
      <c r="D18" t="s">
        <v>72</v>
      </c>
      <c r="E18">
        <v>135.6</v>
      </c>
      <c r="F18">
        <v>1.8881267567647899</v>
      </c>
      <c r="G18" t="s">
        <v>56</v>
      </c>
      <c r="H18" t="s">
        <v>56</v>
      </c>
      <c r="K18">
        <v>20</v>
      </c>
      <c r="L18">
        <v>162.80000000000001</v>
      </c>
      <c r="M18" s="14">
        <v>2.4772975988847699</v>
      </c>
      <c r="N18" s="14"/>
    </row>
    <row r="19" spans="1:14" x14ac:dyDescent="0.25">
      <c r="A19">
        <v>18</v>
      </c>
      <c r="B19" s="13" t="s">
        <v>54</v>
      </c>
      <c r="C19">
        <v>6.2581018518518522E-2</v>
      </c>
      <c r="D19" t="s">
        <v>73</v>
      </c>
      <c r="E19">
        <v>141.4</v>
      </c>
      <c r="F19">
        <v>2.1597778344449399</v>
      </c>
      <c r="G19" t="s">
        <v>56</v>
      </c>
      <c r="H19" t="s">
        <v>56</v>
      </c>
      <c r="K19">
        <v>21</v>
      </c>
      <c r="L19">
        <v>133.69999999999999</v>
      </c>
      <c r="M19" s="14">
        <v>2.7092584800727901</v>
      </c>
      <c r="N19" s="14"/>
    </row>
    <row r="20" spans="1:14" x14ac:dyDescent="0.25">
      <c r="A20">
        <v>19</v>
      </c>
      <c r="B20" s="13" t="s">
        <v>54</v>
      </c>
      <c r="C20">
        <v>6.5150462962962966E-2</v>
      </c>
      <c r="D20" t="s">
        <v>74</v>
      </c>
      <c r="E20">
        <v>162.80000000000001</v>
      </c>
      <c r="F20">
        <v>2.4772975988847699</v>
      </c>
      <c r="G20" t="s">
        <v>56</v>
      </c>
      <c r="H20" t="s">
        <v>56</v>
      </c>
      <c r="K20">
        <v>23</v>
      </c>
      <c r="L20">
        <v>147.4</v>
      </c>
      <c r="M20" s="14">
        <v>2.1097805477826399</v>
      </c>
      <c r="N20" s="14"/>
    </row>
    <row r="21" spans="1:14" x14ac:dyDescent="0.25">
      <c r="A21">
        <v>20</v>
      </c>
      <c r="B21" s="13" t="s">
        <v>54</v>
      </c>
      <c r="C21">
        <v>6.7939814814814814E-2</v>
      </c>
      <c r="D21" t="s">
        <v>75</v>
      </c>
      <c r="E21">
        <v>133.69999999999999</v>
      </c>
      <c r="F21">
        <v>2.7092584800727901</v>
      </c>
      <c r="G21" t="s">
        <v>56</v>
      </c>
      <c r="H21" t="s">
        <v>56</v>
      </c>
    </row>
    <row r="22" spans="1:14" x14ac:dyDescent="0.25">
      <c r="A22">
        <v>21</v>
      </c>
      <c r="B22" s="13" t="s">
        <v>54</v>
      </c>
      <c r="C22">
        <v>7.1180555555555552E-2</v>
      </c>
      <c r="D22" t="s">
        <v>76</v>
      </c>
      <c r="E22">
        <v>147.4</v>
      </c>
      <c r="F22">
        <v>2.1097805477826399</v>
      </c>
      <c r="G22" t="s">
        <v>56</v>
      </c>
      <c r="H22" t="s">
        <v>56</v>
      </c>
    </row>
    <row r="23" spans="1:14" x14ac:dyDescent="0.25">
      <c r="A23">
        <v>22</v>
      </c>
      <c r="B23" s="13" t="s">
        <v>54</v>
      </c>
      <c r="C23">
        <v>7.3773148148148143E-2</v>
      </c>
      <c r="D23" t="s">
        <v>67</v>
      </c>
    </row>
    <row r="24" spans="1:14" x14ac:dyDescent="0.25">
      <c r="A24">
        <v>23</v>
      </c>
      <c r="B24" s="13" t="s">
        <v>54</v>
      </c>
      <c r="C24">
        <v>7.6342592592592587E-2</v>
      </c>
      <c r="D24" t="s">
        <v>66</v>
      </c>
      <c r="K24" s="15" t="s">
        <v>81</v>
      </c>
    </row>
    <row r="25" spans="1:14" x14ac:dyDescent="0.25">
      <c r="A25">
        <v>24</v>
      </c>
      <c r="B25" s="13" t="s">
        <v>54</v>
      </c>
      <c r="C25">
        <v>7.7094907407407404E-2</v>
      </c>
      <c r="D25" t="s">
        <v>77</v>
      </c>
      <c r="E25">
        <v>500</v>
      </c>
      <c r="F25">
        <v>2.8798437442351599E-2</v>
      </c>
      <c r="G25" t="s">
        <v>56</v>
      </c>
      <c r="H25" t="s">
        <v>56</v>
      </c>
    </row>
    <row r="26" spans="1:14" x14ac:dyDescent="0.25">
      <c r="D26" t="s">
        <v>78</v>
      </c>
      <c r="F26">
        <v>2.3080805721229298</v>
      </c>
      <c r="G26" t="s">
        <v>56</v>
      </c>
      <c r="H26" t="s">
        <v>56</v>
      </c>
    </row>
    <row r="27" spans="1:14" x14ac:dyDescent="0.25">
      <c r="D27" t="s">
        <v>79</v>
      </c>
      <c r="F27">
        <v>0.97854428257562298</v>
      </c>
      <c r="G27" t="s">
        <v>56</v>
      </c>
      <c r="H27" t="s">
        <v>56</v>
      </c>
    </row>
    <row r="28" spans="1:14" x14ac:dyDescent="0.25">
      <c r="D28" t="s">
        <v>80</v>
      </c>
      <c r="F28">
        <v>42.396452463337297</v>
      </c>
      <c r="G28" t="s">
        <v>56</v>
      </c>
      <c r="H28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Zr Statistics</vt:lpstr>
      <vt:lpstr>GPS, Site &amp; Depth</vt:lpstr>
      <vt:lpstr>Ti Statistics</vt:lpstr>
      <vt:lpstr>Rb Statistics</vt:lpstr>
      <vt:lpstr>K Statistics</vt:lpstr>
      <vt:lpstr>Ca Statistics</vt:lpstr>
      <vt:lpstr>V Statistics</vt:lpstr>
      <vt:lpstr>Cu Statistics</vt:lpstr>
      <vt:lpstr>Zn Statistics</vt:lpstr>
      <vt:lpstr>Pb Statistics</vt:lpstr>
      <vt:lpstr>Sr Statistics</vt:lpstr>
      <vt:lpstr>Th Statistics</vt:lpstr>
      <vt:lpstr>Fe Statistics</vt:lpstr>
      <vt:lpstr>Mn Statistics</vt:lpstr>
      <vt:lpstr>Water Statistics</vt:lpstr>
      <vt:lpstr>D50 Statistics</vt:lpstr>
      <vt:lpstr>D10 Statistics</vt:lpstr>
      <vt:lpstr>D90 Statistics</vt:lpstr>
      <vt:lpstr>Correlation Analysis D50 vs XRF</vt:lpstr>
      <vt:lpstr>Correlation Analysis H2o VS D50</vt:lpstr>
      <vt:lpstr>Correlation Analysis H20 vs XRF</vt:lpstr>
      <vt:lpstr>%Clay Statistics</vt:lpstr>
      <vt:lpstr>%Silt Statistics</vt:lpstr>
      <vt:lpstr>%Sand Statistics</vt:lpstr>
      <vt:lpstr>Correlation Matrix</vt:lpstr>
      <vt:lpstr>Master Data</vt:lpstr>
      <vt:lpstr>%C Statistics</vt:lpstr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Oluwatunmise Emmanuel Akanmu</dc:creator>
  <cp:lastModifiedBy>Oluwatunmise Emmanuel Akanmu</cp:lastModifiedBy>
  <dcterms:created xsi:type="dcterms:W3CDTF">2026-02-28T03:57:07Z</dcterms:created>
  <dcterms:modified xsi:type="dcterms:W3CDTF">2026-03-19T15:50:36Z</dcterms:modified>
</cp:coreProperties>
</file>